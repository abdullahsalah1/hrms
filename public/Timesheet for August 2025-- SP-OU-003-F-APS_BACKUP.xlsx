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\\i-aps-server\HR &amp; Operation Management\ماجد\09-04-2025\Desktop\Maria's Timesheet 2025\New folder (2)\"/>
    </mc:Choice>
  </mc:AlternateContent>
  <xr:revisionPtr revIDLastSave="0" documentId="13_ncr:1_{861D2F88-6E0A-472C-BE11-A7623A3E6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 Month Year" sheetId="1" r:id="rId1"/>
    <sheet name="Restricted - not in use" sheetId="2" state="hidden" r:id="rId2"/>
    <sheet name="Restricted 2 - available prj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" i="1" l="1"/>
  <c r="B63" i="1"/>
  <c r="B62" i="1"/>
  <c r="B61" i="1"/>
  <c r="C56" i="1"/>
  <c r="B38" i="1"/>
  <c r="B36" i="1" s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K35" i="1"/>
  <c r="C67" i="1" s="1"/>
  <c r="AK34" i="1"/>
  <c r="C63" i="1" s="1"/>
  <c r="AK33" i="1"/>
  <c r="C62" i="1" s="1"/>
  <c r="AK32" i="1"/>
  <c r="AK36" i="1" s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K28" i="1"/>
  <c r="C28" i="1"/>
  <c r="AK27" i="1"/>
  <c r="C27" i="1"/>
  <c r="AK26" i="1"/>
  <c r="C26" i="1"/>
  <c r="AK25" i="1"/>
  <c r="C25" i="1"/>
  <c r="AK24" i="1"/>
  <c r="C24" i="1"/>
  <c r="AK23" i="1"/>
  <c r="C23" i="1"/>
  <c r="AK22" i="1"/>
  <c r="C22" i="1"/>
  <c r="AK21" i="1"/>
  <c r="C21" i="1"/>
  <c r="AK20" i="1"/>
  <c r="C20" i="1"/>
  <c r="AK19" i="1"/>
  <c r="C19" i="1"/>
  <c r="AK18" i="1"/>
  <c r="C18" i="1"/>
  <c r="AK17" i="1"/>
  <c r="C17" i="1"/>
  <c r="AK16" i="1"/>
  <c r="C16" i="1"/>
  <c r="AK15" i="1"/>
  <c r="C15" i="1"/>
  <c r="AK14" i="1"/>
  <c r="AK29" i="1" s="1"/>
  <c r="C60" i="1" s="1"/>
  <c r="C14" i="1"/>
  <c r="F13" i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C61" i="1" l="1"/>
  <c r="C64" i="1" s="1"/>
</calcChain>
</file>

<file path=xl/sharedStrings.xml><?xml version="1.0" encoding="utf-8"?>
<sst xmlns="http://schemas.openxmlformats.org/spreadsheetml/2006/main" count="699" uniqueCount="578">
  <si>
    <t>Timesheet Template</t>
  </si>
  <si>
    <t>CODE</t>
  </si>
  <si>
    <t>SP-OU-003-F-APS</t>
  </si>
  <si>
    <t>VERSION</t>
  </si>
  <si>
    <t>APPROVAL DATE</t>
  </si>
  <si>
    <t>*Please download a copy of this document before editing it</t>
  </si>
  <si>
    <t xml:space="preserve">Payment Period: </t>
  </si>
  <si>
    <r>
      <rPr>
        <b/>
        <sz val="11"/>
        <color theme="1"/>
        <rFont val="Poppins"/>
      </rPr>
      <t>Approved by</t>
    </r>
    <r>
      <rPr>
        <sz val="11"/>
        <color theme="1"/>
        <rFont val="Poppins"/>
      </rPr>
      <t xml:space="preserve">: </t>
    </r>
  </si>
  <si>
    <t>Work week</t>
  </si>
  <si>
    <t>Monday-Friday</t>
  </si>
  <si>
    <t>Name:</t>
  </si>
  <si>
    <t>[include your name]</t>
  </si>
  <si>
    <t>REVISION DATE</t>
  </si>
  <si>
    <t xml:space="preserve">Roles: </t>
  </si>
  <si>
    <t>Corresponding Unit:</t>
  </si>
  <si>
    <t>Project (Contract Code)</t>
  </si>
  <si>
    <t>Client / Project</t>
  </si>
  <si>
    <t>Role</t>
  </si>
  <si>
    <t>Work Description</t>
  </si>
  <si>
    <t>Total</t>
  </si>
  <si>
    <t xml:space="preserve">Total Hours   </t>
  </si>
  <si>
    <t>Time off (Type)</t>
  </si>
  <si>
    <t>Annual Leave / RnR</t>
  </si>
  <si>
    <t>Sick Leave</t>
  </si>
  <si>
    <t>Do not modify B34</t>
  </si>
  <si>
    <t>National Holidays (Public Holidays)</t>
  </si>
  <si>
    <t>Leave without Pay (LWOP)</t>
  </si>
  <si>
    <t>Submission</t>
  </si>
  <si>
    <t>Name / Signature</t>
  </si>
  <si>
    <t>Position</t>
  </si>
  <si>
    <t>Date</t>
  </si>
  <si>
    <t>Approval</t>
  </si>
  <si>
    <t>Grand Total</t>
  </si>
  <si>
    <t>Total hours</t>
  </si>
  <si>
    <t>Total payable hours</t>
  </si>
  <si>
    <t>Months</t>
  </si>
  <si>
    <t>Contracts</t>
  </si>
  <si>
    <t>Clients</t>
  </si>
  <si>
    <t>Consultants*</t>
  </si>
  <si>
    <t>Supervisors*</t>
  </si>
  <si>
    <t>*This info is available from payment berakdown sheet</t>
  </si>
  <si>
    <t>APS-078</t>
  </si>
  <si>
    <t>Wael Rahhel</t>
  </si>
  <si>
    <t>Maria Melo Torres</t>
  </si>
  <si>
    <t>APS-082</t>
  </si>
  <si>
    <t>Sunday-Thursday</t>
  </si>
  <si>
    <t>Najdat Abdeen</t>
  </si>
  <si>
    <t>APS-083</t>
  </si>
  <si>
    <t>Francis Rivera</t>
  </si>
  <si>
    <t>Agron Ferati</t>
  </si>
  <si>
    <t>APS-084</t>
  </si>
  <si>
    <t>Erik Jan Lode</t>
  </si>
  <si>
    <t>APS-093</t>
  </si>
  <si>
    <t>Samer Emarili</t>
  </si>
  <si>
    <t>APS-096</t>
  </si>
  <si>
    <t>APS-098</t>
  </si>
  <si>
    <t>Kasem Al Ahmad</t>
  </si>
  <si>
    <t>Agron Ferati
Relevant Sr.PM</t>
  </si>
  <si>
    <t>APS-102</t>
  </si>
  <si>
    <t>Ueda Osmani</t>
  </si>
  <si>
    <t>Ledian Shera
Ardi Mejzini</t>
  </si>
  <si>
    <t>APS-103</t>
  </si>
  <si>
    <t>Chiara Veronica Carli</t>
  </si>
  <si>
    <t>APS-106</t>
  </si>
  <si>
    <t>Samir Elagra</t>
  </si>
  <si>
    <t>APS-109</t>
  </si>
  <si>
    <t>Catherine Pacheco-Olivar</t>
  </si>
  <si>
    <t>APS-110</t>
  </si>
  <si>
    <t>Huda Khallouf</t>
  </si>
  <si>
    <t>APS-114</t>
  </si>
  <si>
    <t>Aboubacar Diallo</t>
  </si>
  <si>
    <t>APS-116</t>
  </si>
  <si>
    <t>Ledian Shera</t>
  </si>
  <si>
    <t>Agron Ferati
Ardi Mejzini</t>
  </si>
  <si>
    <t>APS-118</t>
  </si>
  <si>
    <t>Ehab Zaghloul Kotb</t>
  </si>
  <si>
    <t>APS-119</t>
  </si>
  <si>
    <t>Antonio Suarez</t>
  </si>
  <si>
    <t>APS-120</t>
  </si>
  <si>
    <t>Maria Teresa Ramos Acosta</t>
  </si>
  <si>
    <t>APS-121</t>
  </si>
  <si>
    <t>Melike Ozberk</t>
  </si>
  <si>
    <t>APS-123</t>
  </si>
  <si>
    <t>APS-124</t>
  </si>
  <si>
    <t>Clara Di Dio</t>
  </si>
  <si>
    <t>Maria Melo Torres
Agron Ferati</t>
  </si>
  <si>
    <t>APS-125</t>
  </si>
  <si>
    <t>Akhil Kakkar</t>
  </si>
  <si>
    <t>Marko Runjic</t>
  </si>
  <si>
    <t>APS-126</t>
  </si>
  <si>
    <t>Juliana Loaiza Rincón</t>
  </si>
  <si>
    <t>APS-127</t>
  </si>
  <si>
    <t>Solange Gacuti</t>
  </si>
  <si>
    <t>APS-128</t>
  </si>
  <si>
    <t>Andrea Campos Villarraga</t>
  </si>
  <si>
    <t>Maria Melo Torres
Data Analsis Unit Manager</t>
  </si>
  <si>
    <t>APS-129</t>
  </si>
  <si>
    <t>Liliana Martínez Rosales</t>
  </si>
  <si>
    <t>Maria Teresa Ramos</t>
  </si>
  <si>
    <t>APS-130</t>
  </si>
  <si>
    <t>Gertrudys Cedeno</t>
  </si>
  <si>
    <t>APS-131</t>
  </si>
  <si>
    <t>Irene Petkoff</t>
  </si>
  <si>
    <t>APS-132</t>
  </si>
  <si>
    <t>Richard Hocking</t>
  </si>
  <si>
    <t>Chiara Carli
Agron Ferati</t>
  </si>
  <si>
    <t>APS-133</t>
  </si>
  <si>
    <t>Madison Rose</t>
  </si>
  <si>
    <t>Amina Ferati</t>
  </si>
  <si>
    <t>APS-134</t>
  </si>
  <si>
    <t>Mouna Baker</t>
  </si>
  <si>
    <t>Agron?</t>
  </si>
  <si>
    <t>APS-135</t>
  </si>
  <si>
    <t>Javier Mayorca</t>
  </si>
  <si>
    <t>Agron</t>
  </si>
  <si>
    <t>APS-136</t>
  </si>
  <si>
    <t>Iain McLellan</t>
  </si>
  <si>
    <t>Clara di Dio
Agron Ferati</t>
  </si>
  <si>
    <t>APS-137</t>
  </si>
  <si>
    <t>APS-138</t>
  </si>
  <si>
    <t>Zozik</t>
  </si>
  <si>
    <t>APS-139</t>
  </si>
  <si>
    <t>Tuul Dorjderem</t>
  </si>
  <si>
    <t>APS-140</t>
  </si>
  <si>
    <t>Adegoke Familola</t>
  </si>
  <si>
    <t>Sheheryar Haq
Maria Melo Torres</t>
  </si>
  <si>
    <t>APS-141</t>
  </si>
  <si>
    <t>Muhammad Ramazan</t>
  </si>
  <si>
    <t>APS-142</t>
  </si>
  <si>
    <t>Roberta Contin</t>
  </si>
  <si>
    <t>APS-143</t>
  </si>
  <si>
    <t>Gladys Chepkoech Siele</t>
  </si>
  <si>
    <t>APS-144</t>
  </si>
  <si>
    <t>Aliaa Khamis</t>
  </si>
  <si>
    <t>APS-145</t>
  </si>
  <si>
    <t>Sheheryar Haq</t>
  </si>
  <si>
    <t>Melike Hemammi
Maria Melo Torres
Agron Ferati</t>
  </si>
  <si>
    <t>APS-146</t>
  </si>
  <si>
    <t>Nevine Guirguis</t>
  </si>
  <si>
    <t>Clara di Dio</t>
  </si>
  <si>
    <t>APS-147</t>
  </si>
  <si>
    <t>Shruti Verma</t>
  </si>
  <si>
    <t>Ardita Hamza
Maria Melo Torres.</t>
  </si>
  <si>
    <t>APS-148</t>
  </si>
  <si>
    <t>Kutaiba Alhasan</t>
  </si>
  <si>
    <t>Sheheryar Haq
Maria Melo Torres
Agron Ferati</t>
  </si>
  <si>
    <t>APS-149</t>
  </si>
  <si>
    <t>Rama Mohammad Alfakiani</t>
  </si>
  <si>
    <t>Azzam Al Hadi</t>
  </si>
  <si>
    <t>APS-150</t>
  </si>
  <si>
    <t>Samia Mohamed Nour</t>
  </si>
  <si>
    <t>Samir Elagra
Maria Melo Torres 
Agron Ferati</t>
  </si>
  <si>
    <t>APS-151</t>
  </si>
  <si>
    <t>Angie Montenegro Alvarado</t>
  </si>
  <si>
    <t>Maria Melo Torres 
Agron Ferati</t>
  </si>
  <si>
    <t>APS-152</t>
  </si>
  <si>
    <t>Odonchimeg Tsevegmid</t>
  </si>
  <si>
    <t>APS-153</t>
  </si>
  <si>
    <t>Rebecca O`Keefe</t>
  </si>
  <si>
    <t>APS-154</t>
  </si>
  <si>
    <t>Alejandro Garcia Flores</t>
  </si>
  <si>
    <t>Ledian Shera
Agron Ferati</t>
  </si>
  <si>
    <t>APS-155</t>
  </si>
  <si>
    <t>Elhaj Mustafa Ali</t>
  </si>
  <si>
    <t>APS-156</t>
  </si>
  <si>
    <t>Eltayeb Mohamedain Abdalla Mohamdain</t>
  </si>
  <si>
    <t>APS-157</t>
  </si>
  <si>
    <t>Abdelghani Ahmed Hussein</t>
  </si>
  <si>
    <t>APS-158</t>
  </si>
  <si>
    <t>Mona Mohamed Taha Ayoub</t>
  </si>
  <si>
    <t>APS-159</t>
  </si>
  <si>
    <t>Adam Ahmed Soliman Sabil</t>
  </si>
  <si>
    <t>APS-160</t>
  </si>
  <si>
    <t>Moutasim Gamar Eldin Ismail</t>
  </si>
  <si>
    <t>APS-161</t>
  </si>
  <si>
    <t>Tarig Ibrahim Mohamed</t>
  </si>
  <si>
    <t>APS-162</t>
  </si>
  <si>
    <t>Sabir Adam Hassan Abbo</t>
  </si>
  <si>
    <t>APS-163</t>
  </si>
  <si>
    <t>Mohammed Idris Osman Hummed</t>
  </si>
  <si>
    <t>APS-164</t>
  </si>
  <si>
    <t>APS-165</t>
  </si>
  <si>
    <t>APS-166</t>
  </si>
  <si>
    <t>APS-167</t>
  </si>
  <si>
    <t>Yusuf Faruk</t>
  </si>
  <si>
    <t>Sheheryar Haq
MMT</t>
  </si>
  <si>
    <t>APS-168</t>
  </si>
  <si>
    <t>APS-169</t>
  </si>
  <si>
    <t>Farah Mahafzah</t>
  </si>
  <si>
    <t>APS-170</t>
  </si>
  <si>
    <t>APS-171</t>
  </si>
  <si>
    <t>APS-172</t>
  </si>
  <si>
    <t>TK-APS</t>
  </si>
  <si>
    <t>APS-173</t>
  </si>
  <si>
    <t>APS-174</t>
  </si>
  <si>
    <t>APS-175</t>
  </si>
  <si>
    <t>APS-176</t>
  </si>
  <si>
    <t>APS-177</t>
  </si>
  <si>
    <t>APS-178</t>
  </si>
  <si>
    <t>APS-179</t>
  </si>
  <si>
    <t>APS-180</t>
  </si>
  <si>
    <t>APS-181</t>
  </si>
  <si>
    <t>APS-182</t>
  </si>
  <si>
    <t>APS-183</t>
  </si>
  <si>
    <t>APS-184</t>
  </si>
  <si>
    <t>APS-185</t>
  </si>
  <si>
    <t>APS-186</t>
  </si>
  <si>
    <t>APS-187</t>
  </si>
  <si>
    <t>APS-188</t>
  </si>
  <si>
    <t>APS-189</t>
  </si>
  <si>
    <t>APS-190</t>
  </si>
  <si>
    <t>APS-191</t>
  </si>
  <si>
    <t>APS-192</t>
  </si>
  <si>
    <t>APS-193</t>
  </si>
  <si>
    <t>APS-194</t>
  </si>
  <si>
    <t>APS-195</t>
  </si>
  <si>
    <t>APS-196</t>
  </si>
  <si>
    <t>APS-197</t>
  </si>
  <si>
    <t>APS-198</t>
  </si>
  <si>
    <t>APS-199</t>
  </si>
  <si>
    <t>APS-200</t>
  </si>
  <si>
    <t>APS-201</t>
  </si>
  <si>
    <t>APS-202</t>
  </si>
  <si>
    <t>APS-203</t>
  </si>
  <si>
    <t>APS-204</t>
  </si>
  <si>
    <t>APS-205</t>
  </si>
  <si>
    <t>APS-206</t>
  </si>
  <si>
    <t>APS-207</t>
  </si>
  <si>
    <t>APS-208</t>
  </si>
  <si>
    <t>APS-209</t>
  </si>
  <si>
    <t>APS-210</t>
  </si>
  <si>
    <t>APS-211</t>
  </si>
  <si>
    <t>APS-212</t>
  </si>
  <si>
    <t>APS-213</t>
  </si>
  <si>
    <t>APS-214</t>
  </si>
  <si>
    <t>APS-215</t>
  </si>
  <si>
    <t>APS-216</t>
  </si>
  <si>
    <t>APS-217</t>
  </si>
  <si>
    <t>APS-218</t>
  </si>
  <si>
    <t>APS-219</t>
  </si>
  <si>
    <t>APS-220</t>
  </si>
  <si>
    <t>APS-221</t>
  </si>
  <si>
    <t>APS-222</t>
  </si>
  <si>
    <t>APS-223</t>
  </si>
  <si>
    <t>APS-224</t>
  </si>
  <si>
    <t>APS-225</t>
  </si>
  <si>
    <t>APS-226</t>
  </si>
  <si>
    <t>APS-227</t>
  </si>
  <si>
    <t>APS-228</t>
  </si>
  <si>
    <t>APS-229</t>
  </si>
  <si>
    <t>APS-230</t>
  </si>
  <si>
    <t>APS-231</t>
  </si>
  <si>
    <t>APS-232</t>
  </si>
  <si>
    <t>APS-233</t>
  </si>
  <si>
    <t>APS-234</t>
  </si>
  <si>
    <t>APS-235</t>
  </si>
  <si>
    <t>APS-236</t>
  </si>
  <si>
    <t>APS-237</t>
  </si>
  <si>
    <t>APS-238</t>
  </si>
  <si>
    <t>APS-239</t>
  </si>
  <si>
    <t>APS-240</t>
  </si>
  <si>
    <t>APS-241</t>
  </si>
  <si>
    <t>APS-242</t>
  </si>
  <si>
    <t>APS-243</t>
  </si>
  <si>
    <t>APS-244</t>
  </si>
  <si>
    <t>APS-245</t>
  </si>
  <si>
    <t>APS-246</t>
  </si>
  <si>
    <t>APS-247</t>
  </si>
  <si>
    <t>APS-248</t>
  </si>
  <si>
    <t>APS-249</t>
  </si>
  <si>
    <t>APS-250</t>
  </si>
  <si>
    <t>APS-251</t>
  </si>
  <si>
    <t>APS-252</t>
  </si>
  <si>
    <t>APS-253</t>
  </si>
  <si>
    <t>APS-254</t>
  </si>
  <si>
    <t>APS-255</t>
  </si>
  <si>
    <t>APS-256</t>
  </si>
  <si>
    <t>APS-257</t>
  </si>
  <si>
    <t>APS-258</t>
  </si>
  <si>
    <t>APS-259</t>
  </si>
  <si>
    <t>APS-260</t>
  </si>
  <si>
    <t>APS-261</t>
  </si>
  <si>
    <t>APS-262</t>
  </si>
  <si>
    <t>APS-263</t>
  </si>
  <si>
    <t>APS-264</t>
  </si>
  <si>
    <t>APS-265</t>
  </si>
  <si>
    <t>APS-266</t>
  </si>
  <si>
    <t>APS-267</t>
  </si>
  <si>
    <t>APS-268</t>
  </si>
  <si>
    <t>APS-269</t>
  </si>
  <si>
    <t>APS-270</t>
  </si>
  <si>
    <t>APS-271</t>
  </si>
  <si>
    <t>APS-272</t>
  </si>
  <si>
    <t>APS-273</t>
  </si>
  <si>
    <t>APS-274</t>
  </si>
  <si>
    <t>APS-275</t>
  </si>
  <si>
    <t>APS-276</t>
  </si>
  <si>
    <t>APS-277</t>
  </si>
  <si>
    <t>APS-278</t>
  </si>
  <si>
    <t>APS-279</t>
  </si>
  <si>
    <t>APS-280</t>
  </si>
  <si>
    <t>APS-281</t>
  </si>
  <si>
    <t>APS-282</t>
  </si>
  <si>
    <t>APS-283</t>
  </si>
  <si>
    <t>APS-284</t>
  </si>
  <si>
    <t>APS-285</t>
  </si>
  <si>
    <t>APS-286</t>
  </si>
  <si>
    <t>APS-287</t>
  </si>
  <si>
    <t>APS-288</t>
  </si>
  <si>
    <t>APS-289</t>
  </si>
  <si>
    <t>APS-290</t>
  </si>
  <si>
    <t>APS-291</t>
  </si>
  <si>
    <t>APS-292</t>
  </si>
  <si>
    <t>APS-293</t>
  </si>
  <si>
    <t>APS-294</t>
  </si>
  <si>
    <t>APS-295</t>
  </si>
  <si>
    <t>APS-296</t>
  </si>
  <si>
    <t>APS-297</t>
  </si>
  <si>
    <t>APS-298</t>
  </si>
  <si>
    <t>APS-299</t>
  </si>
  <si>
    <t>APS-300</t>
  </si>
  <si>
    <t>APS-301</t>
  </si>
  <si>
    <t>APS-302</t>
  </si>
  <si>
    <t>APS-303</t>
  </si>
  <si>
    <t>APS-304</t>
  </si>
  <si>
    <t>APS-305</t>
  </si>
  <si>
    <t>APS-306</t>
  </si>
  <si>
    <t>APS-307</t>
  </si>
  <si>
    <t>APS-308</t>
  </si>
  <si>
    <t>APS-309</t>
  </si>
  <si>
    <t>APS-310</t>
  </si>
  <si>
    <t>APS-311</t>
  </si>
  <si>
    <t>APS-312</t>
  </si>
  <si>
    <t>APS-313</t>
  </si>
  <si>
    <t>APS-314</t>
  </si>
  <si>
    <t>APS-315</t>
  </si>
  <si>
    <t>APS-316</t>
  </si>
  <si>
    <t>APS-317</t>
  </si>
  <si>
    <t>APS-318</t>
  </si>
  <si>
    <t>APS-319</t>
  </si>
  <si>
    <t>APS-320</t>
  </si>
  <si>
    <t>APS-321</t>
  </si>
  <si>
    <t>APS-322</t>
  </si>
  <si>
    <t>APS-323</t>
  </si>
  <si>
    <t>APS-324</t>
  </si>
  <si>
    <t>APS-325</t>
  </si>
  <si>
    <t>APS-326</t>
  </si>
  <si>
    <t>APS-327</t>
  </si>
  <si>
    <t>APS-328</t>
  </si>
  <si>
    <t>APS-329</t>
  </si>
  <si>
    <t>APS-330</t>
  </si>
  <si>
    <t>APS-331</t>
  </si>
  <si>
    <t>APS-332</t>
  </si>
  <si>
    <t>APS-333</t>
  </si>
  <si>
    <t>APS-334</t>
  </si>
  <si>
    <t>APS-335</t>
  </si>
  <si>
    <t>APS-336</t>
  </si>
  <si>
    <t>APS-337</t>
  </si>
  <si>
    <t>APS-338</t>
  </si>
  <si>
    <t>APS-339</t>
  </si>
  <si>
    <t>APS-340</t>
  </si>
  <si>
    <t>APS-341</t>
  </si>
  <si>
    <t>APS-342</t>
  </si>
  <si>
    <t>APS-343</t>
  </si>
  <si>
    <t>APS-344</t>
  </si>
  <si>
    <t>APS-345</t>
  </si>
  <si>
    <t>APS-346</t>
  </si>
  <si>
    <t>APS-347</t>
  </si>
  <si>
    <t>APS-348</t>
  </si>
  <si>
    <t>APS-349</t>
  </si>
  <si>
    <t>APS-350</t>
  </si>
  <si>
    <t>APS-351</t>
  </si>
  <si>
    <t>APS-352</t>
  </si>
  <si>
    <t>APS-353</t>
  </si>
  <si>
    <t>APS-354</t>
  </si>
  <si>
    <t>APS-355</t>
  </si>
  <si>
    <t>APS-356</t>
  </si>
  <si>
    <t>APS-357</t>
  </si>
  <si>
    <t>APS-358</t>
  </si>
  <si>
    <t>APS-359</t>
  </si>
  <si>
    <t>APS-360</t>
  </si>
  <si>
    <t>APS-361</t>
  </si>
  <si>
    <t>APS-362</t>
  </si>
  <si>
    <t>APS-363</t>
  </si>
  <si>
    <t>APS-364</t>
  </si>
  <si>
    <t>APS-365</t>
  </si>
  <si>
    <t>APS-366</t>
  </si>
  <si>
    <t>APS-367</t>
  </si>
  <si>
    <t>APS-368</t>
  </si>
  <si>
    <t>APS-369</t>
  </si>
  <si>
    <t>APS-370</t>
  </si>
  <si>
    <t>APS-371</t>
  </si>
  <si>
    <t>APS-372</t>
  </si>
  <si>
    <t>APS-373</t>
  </si>
  <si>
    <t>APS-374</t>
  </si>
  <si>
    <t>APS-375</t>
  </si>
  <si>
    <t>APS-376</t>
  </si>
  <si>
    <t>APS-377</t>
  </si>
  <si>
    <t>APS-378</t>
  </si>
  <si>
    <t>APS-379</t>
  </si>
  <si>
    <t>APS-380</t>
  </si>
  <si>
    <t>APS-381</t>
  </si>
  <si>
    <t>APS-382</t>
  </si>
  <si>
    <t>APS-383</t>
  </si>
  <si>
    <t>APS-384</t>
  </si>
  <si>
    <t>APS-385</t>
  </si>
  <si>
    <t>APS-386</t>
  </si>
  <si>
    <t>APS-387</t>
  </si>
  <si>
    <t>APS-388</t>
  </si>
  <si>
    <t>APS-389</t>
  </si>
  <si>
    <t>APS-390</t>
  </si>
  <si>
    <t>APS-391</t>
  </si>
  <si>
    <t>APS-392</t>
  </si>
  <si>
    <t>APS-393</t>
  </si>
  <si>
    <t>APS-394</t>
  </si>
  <si>
    <t>APS-395</t>
  </si>
  <si>
    <t>APS-396</t>
  </si>
  <si>
    <t>APS-397</t>
  </si>
  <si>
    <t>APS-398</t>
  </si>
  <si>
    <t>APS-399</t>
  </si>
  <si>
    <t>APS-400</t>
  </si>
  <si>
    <t>APS-401</t>
  </si>
  <si>
    <t>APS-402</t>
  </si>
  <si>
    <t>APS-403</t>
  </si>
  <si>
    <t>APS-404</t>
  </si>
  <si>
    <t>APS-405</t>
  </si>
  <si>
    <t>APS-406</t>
  </si>
  <si>
    <t>APS-407</t>
  </si>
  <si>
    <t>APS-408</t>
  </si>
  <si>
    <t>APS-409</t>
  </si>
  <si>
    <t>APS-410</t>
  </si>
  <si>
    <t>APS-411</t>
  </si>
  <si>
    <t>APS-412</t>
  </si>
  <si>
    <t>APS-413</t>
  </si>
  <si>
    <t>APS-414</t>
  </si>
  <si>
    <t>APS-415</t>
  </si>
  <si>
    <t>APS-416</t>
  </si>
  <si>
    <t>APS-417</t>
  </si>
  <si>
    <t>APS-418</t>
  </si>
  <si>
    <t>APS-419</t>
  </si>
  <si>
    <t>APS-420</t>
  </si>
  <si>
    <t>APS-421</t>
  </si>
  <si>
    <t>APS-422</t>
  </si>
  <si>
    <t>APS-423</t>
  </si>
  <si>
    <t>APS-424</t>
  </si>
  <si>
    <t>APS-425</t>
  </si>
  <si>
    <t>APS-426</t>
  </si>
  <si>
    <t>APS-427</t>
  </si>
  <si>
    <t>APS-428</t>
  </si>
  <si>
    <t>APS-429</t>
  </si>
  <si>
    <t>APS-430</t>
  </si>
  <si>
    <t>APS-431</t>
  </si>
  <si>
    <t>APS-432</t>
  </si>
  <si>
    <t>APS-433</t>
  </si>
  <si>
    <t>APS-434</t>
  </si>
  <si>
    <t>APS-435</t>
  </si>
  <si>
    <t>APS-436</t>
  </si>
  <si>
    <t>APS-437</t>
  </si>
  <si>
    <t>APS-438</t>
  </si>
  <si>
    <t>APS-439</t>
  </si>
  <si>
    <t>APS-440</t>
  </si>
  <si>
    <t>APS-441</t>
  </si>
  <si>
    <t>APS-442</t>
  </si>
  <si>
    <t>APS-443</t>
  </si>
  <si>
    <t>APS-444</t>
  </si>
  <si>
    <t>APS-445</t>
  </si>
  <si>
    <t>APS-446</t>
  </si>
  <si>
    <t>APS-447</t>
  </si>
  <si>
    <t>APS-448</t>
  </si>
  <si>
    <t>APS-449</t>
  </si>
  <si>
    <t>APS-450</t>
  </si>
  <si>
    <t>APS-451</t>
  </si>
  <si>
    <t>APS-452</t>
  </si>
  <si>
    <t>APS-453</t>
  </si>
  <si>
    <t>APS-454</t>
  </si>
  <si>
    <t>APS-455</t>
  </si>
  <si>
    <t>APS-456</t>
  </si>
  <si>
    <t>APS-457</t>
  </si>
  <si>
    <t>APS-458</t>
  </si>
  <si>
    <t>APS-459</t>
  </si>
  <si>
    <t>APS-460</t>
  </si>
  <si>
    <t>APS-461</t>
  </si>
  <si>
    <t>APS-462</t>
  </si>
  <si>
    <t>APS-463</t>
  </si>
  <si>
    <t>APS-464</t>
  </si>
  <si>
    <t>APS-465</t>
  </si>
  <si>
    <t>APS-466</t>
  </si>
  <si>
    <t>APS-467</t>
  </si>
  <si>
    <t>APS-468</t>
  </si>
  <si>
    <t>APS-469</t>
  </si>
  <si>
    <t>APS-470</t>
  </si>
  <si>
    <t>APS-471</t>
  </si>
  <si>
    <t>APS-472</t>
  </si>
  <si>
    <t>APS-473</t>
  </si>
  <si>
    <t>APS-474</t>
  </si>
  <si>
    <t>APS-475</t>
  </si>
  <si>
    <t>APS-476</t>
  </si>
  <si>
    <t>APS-477</t>
  </si>
  <si>
    <t>APS-478</t>
  </si>
  <si>
    <t>APS-479</t>
  </si>
  <si>
    <t>APS-480</t>
  </si>
  <si>
    <t>APS-481</t>
  </si>
  <si>
    <t>APS-482</t>
  </si>
  <si>
    <t>APS-483</t>
  </si>
  <si>
    <t>APS-484</t>
  </si>
  <si>
    <t>APS-485</t>
  </si>
  <si>
    <t>APS-486</t>
  </si>
  <si>
    <t>APS-487</t>
  </si>
  <si>
    <t>APS-488</t>
  </si>
  <si>
    <t>APS-489</t>
  </si>
  <si>
    <t>APS-490</t>
  </si>
  <si>
    <t>APS-491</t>
  </si>
  <si>
    <t>APS-492</t>
  </si>
  <si>
    <t>APS-493</t>
  </si>
  <si>
    <t>APS-494</t>
  </si>
  <si>
    <t>APS-495</t>
  </si>
  <si>
    <t>APS-496</t>
  </si>
  <si>
    <t>APS-497</t>
  </si>
  <si>
    <t>APS-498</t>
  </si>
  <si>
    <t>APS-499</t>
  </si>
  <si>
    <t>APS-500</t>
  </si>
  <si>
    <t>PROJECT CODE</t>
  </si>
  <si>
    <t>CLIENT</t>
  </si>
  <si>
    <t>APS-000-01</t>
  </si>
  <si>
    <t>Finance / Admin / HR Unit</t>
  </si>
  <si>
    <t>APS-000-06</t>
  </si>
  <si>
    <t>Operations Unit</t>
  </si>
  <si>
    <t>APS-000-11</t>
  </si>
  <si>
    <t>Business Development Unit</t>
  </si>
  <si>
    <t>APS-000-12</t>
  </si>
  <si>
    <t>Data Analysis Unit</t>
  </si>
  <si>
    <t>APS-000-13</t>
  </si>
  <si>
    <t>Communication, Design And Visibility Unit</t>
  </si>
  <si>
    <t>APS-000-15</t>
  </si>
  <si>
    <t>Technology (KAP products) Unit</t>
  </si>
  <si>
    <t>APS-000-33</t>
  </si>
  <si>
    <t>Program Management Unit</t>
  </si>
  <si>
    <t>APS-000-34</t>
  </si>
  <si>
    <t>Technical Unit</t>
  </si>
  <si>
    <t>APS-000-35</t>
  </si>
  <si>
    <t>Field Monitoring and Data Collection Unit</t>
  </si>
  <si>
    <t>APS-000-36</t>
  </si>
  <si>
    <t>Legal and Compliance Unit</t>
  </si>
  <si>
    <t>YEM-002-017</t>
  </si>
  <si>
    <t>UNICEF Yemen PO 43356770</t>
  </si>
  <si>
    <t>YEM-017-004</t>
  </si>
  <si>
    <t>UNICEF Yemen PO 43410459</t>
  </si>
  <si>
    <t>YEM-018</t>
  </si>
  <si>
    <t xml:space="preserve">Diakonie Katastrophenhilfe </t>
  </si>
  <si>
    <t>APS-093-003</t>
  </si>
  <si>
    <t>World Food Program (WFP) Cambodia</t>
  </si>
  <si>
    <t>APS-093-005</t>
  </si>
  <si>
    <t xml:space="preserve">World Food Program (WFP) Mali </t>
  </si>
  <si>
    <t>APS-102-005</t>
  </si>
  <si>
    <t>MSI Venezuela</t>
  </si>
  <si>
    <t>UNOCHA YHF Yemen</t>
  </si>
  <si>
    <t>UNDP Syria</t>
  </si>
  <si>
    <t>UNFPA Turkey</t>
  </si>
  <si>
    <t xml:space="preserve">UNDP Sudan </t>
  </si>
  <si>
    <t>FAO LTA</t>
  </si>
  <si>
    <t>APS-139-001</t>
  </si>
  <si>
    <t>WFP Supply Chain Ethiopia</t>
  </si>
  <si>
    <t>APS-139-002</t>
  </si>
  <si>
    <t>WFP Supply Chain Chad</t>
  </si>
  <si>
    <t>APS-143-001</t>
  </si>
  <si>
    <t>UNICEF Sudan TO#01</t>
  </si>
  <si>
    <t>APS-143-002</t>
  </si>
  <si>
    <t>UNICEF Sudan TO#02</t>
  </si>
  <si>
    <t>APS-143-003</t>
  </si>
  <si>
    <t>UNICEF Sudan TO#03</t>
  </si>
  <si>
    <t>APS-143-004</t>
  </si>
  <si>
    <t>UNICEF Sudan TO#04</t>
  </si>
  <si>
    <t>UNDP Afghanistan</t>
  </si>
  <si>
    <t>ForAfrika</t>
  </si>
  <si>
    <t>Yemen John Snow Inc. (JSI)</t>
  </si>
  <si>
    <t>U.S. General Services Administration</t>
  </si>
  <si>
    <t>EnCompass LLC</t>
  </si>
  <si>
    <t>Swiss Solidarity (SwS)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</si>
</sst>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/yy"/>
    <numFmt numFmtId="165" formatCode="[$-409]d/mmm"/>
  </numFmts>
  <fonts count="16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AA1A5F"/>
      <name val="Poppins"/>
    </font>
    <font>
      <sz val="11"/>
      <name val="Calibri"/>
    </font>
    <font>
      <sz val="11"/>
      <color theme="1"/>
      <name val="Poppins"/>
    </font>
    <font>
      <sz val="9"/>
      <color rgb="FFAA1A5F"/>
      <name val="Poppins"/>
    </font>
    <font>
      <b/>
      <sz val="11"/>
      <color rgb="FFFFFFFF"/>
      <name val="Poppins"/>
    </font>
    <font>
      <sz val="11"/>
      <color theme="1"/>
      <name val="Corbel"/>
    </font>
    <font>
      <b/>
      <sz val="11"/>
      <color theme="1"/>
      <name val="Poppins"/>
    </font>
    <font>
      <b/>
      <sz val="11"/>
      <color rgb="FFFFFFFF"/>
      <name val="Corbel"/>
    </font>
    <font>
      <b/>
      <sz val="13"/>
      <color rgb="FFFF0000"/>
      <name val="Corbel"/>
    </font>
    <font>
      <b/>
      <sz val="11"/>
      <color rgb="FF666666"/>
      <name val="Poppins"/>
    </font>
    <font>
      <b/>
      <sz val="11"/>
      <color theme="1"/>
      <name val="Corbel"/>
    </font>
    <font>
      <b/>
      <sz val="11"/>
      <color theme="1"/>
      <name val="Calibri"/>
    </font>
    <font>
      <b/>
      <sz val="13"/>
      <color rgb="FFFFFFFF"/>
      <name val="Poppins"/>
    </font>
    <font>
      <sz val="10"/>
      <color theme="1"/>
      <name val="Corbe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A1A5F"/>
        <bgColor rgb="FFAA1A5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1A5F"/>
      </left>
      <right/>
      <top style="thin">
        <color rgb="FFAA1A5F"/>
      </top>
      <bottom style="thin">
        <color rgb="FFAA1A5F"/>
      </bottom>
      <diagonal/>
    </border>
    <border>
      <left/>
      <right/>
      <top style="thin">
        <color rgb="FFAA1A5F"/>
      </top>
      <bottom style="thin">
        <color rgb="FFAA1A5F"/>
      </bottom>
      <diagonal/>
    </border>
    <border>
      <left/>
      <right style="thin">
        <color rgb="FFAA1A5F"/>
      </right>
      <top style="thin">
        <color rgb="FFAA1A5F"/>
      </top>
      <bottom style="thin">
        <color rgb="FFAA1A5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14" fontId="1" fillId="0" borderId="0" xfId="0" applyNumberFormat="1" applyFont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4" fillId="0" borderId="20" xfId="0" applyFont="1" applyBorder="1" applyAlignment="1">
      <alignment wrapText="1"/>
    </xf>
    <xf numFmtId="0" fontId="1" fillId="0" borderId="0" xfId="0" applyFont="1"/>
    <xf numFmtId="0" fontId="1" fillId="0" borderId="20" xfId="0" applyFont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 wrapText="1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/>
    </xf>
    <xf numFmtId="165" fontId="6" fillId="3" borderId="25" xfId="0" applyNumberFormat="1" applyFont="1" applyFill="1" applyBorder="1" applyAlignment="1">
      <alignment horizontal="center" wrapText="1"/>
    </xf>
    <xf numFmtId="0" fontId="1" fillId="0" borderId="25" xfId="0" applyFont="1" applyBorder="1" applyAlignment="1"/>
    <xf numFmtId="0" fontId="7" fillId="0" borderId="25" xfId="0" applyFont="1" applyBorder="1" applyAlignment="1">
      <alignment horizontal="center" wrapText="1"/>
    </xf>
    <xf numFmtId="0" fontId="1" fillId="0" borderId="25" xfId="0" applyFont="1" applyBorder="1"/>
    <xf numFmtId="2" fontId="1" fillId="0" borderId="25" xfId="0" applyNumberFormat="1" applyFont="1" applyBorder="1"/>
    <xf numFmtId="2" fontId="1" fillId="4" borderId="25" xfId="0" applyNumberFormat="1" applyFont="1" applyFill="1" applyBorder="1"/>
    <xf numFmtId="2" fontId="4" fillId="0" borderId="25" xfId="0" applyNumberFormat="1" applyFont="1" applyBorder="1" applyAlignment="1">
      <alignment horizontal="center"/>
    </xf>
    <xf numFmtId="2" fontId="1" fillId="0" borderId="0" xfId="0" applyNumberFormat="1" applyFont="1"/>
    <xf numFmtId="0" fontId="1" fillId="0" borderId="26" xfId="0" applyFont="1" applyBorder="1"/>
    <xf numFmtId="0" fontId="1" fillId="0" borderId="27" xfId="0" applyFont="1" applyBorder="1"/>
    <xf numFmtId="0" fontId="8" fillId="0" borderId="26" xfId="0" applyFont="1" applyBorder="1" applyAlignment="1">
      <alignment horizontal="center"/>
    </xf>
    <xf numFmtId="2" fontId="1" fillId="0" borderId="28" xfId="0" applyNumberFormat="1" applyFont="1" applyBorder="1"/>
    <xf numFmtId="0" fontId="9" fillId="3" borderId="25" xfId="0" applyFont="1" applyFill="1" applyBorder="1"/>
    <xf numFmtId="0" fontId="1" fillId="3" borderId="25" xfId="0" applyFont="1" applyFill="1" applyBorder="1"/>
    <xf numFmtId="2" fontId="1" fillId="3" borderId="25" xfId="0" applyNumberFormat="1" applyFont="1" applyFill="1" applyBorder="1"/>
    <xf numFmtId="0" fontId="4" fillId="0" borderId="25" xfId="0" applyFont="1" applyBorder="1"/>
    <xf numFmtId="0" fontId="10" fillId="0" borderId="0" xfId="0" applyFont="1" applyAlignment="1">
      <alignment wrapText="1"/>
    </xf>
    <xf numFmtId="0" fontId="11" fillId="0" borderId="0" xfId="0" applyFont="1"/>
    <xf numFmtId="0" fontId="4" fillId="0" borderId="25" xfId="0" applyFont="1" applyBorder="1" applyAlignment="1">
      <alignment horizontal="center"/>
    </xf>
    <xf numFmtId="2" fontId="4" fillId="2" borderId="25" xfId="0" applyNumberFormat="1" applyFont="1" applyFill="1" applyBorder="1" applyAlignment="1">
      <alignment horizontal="center"/>
    </xf>
    <xf numFmtId="2" fontId="1" fillId="2" borderId="0" xfId="0" applyNumberFormat="1" applyFont="1" applyFill="1"/>
    <xf numFmtId="0" fontId="7" fillId="0" borderId="0" xfId="0" applyFont="1" applyAlignment="1">
      <alignment wrapText="1"/>
    </xf>
    <xf numFmtId="0" fontId="9" fillId="3" borderId="25" xfId="0" applyFont="1" applyFill="1" applyBorder="1" applyAlignment="1">
      <alignment horizontal="center" wrapText="1"/>
    </xf>
    <xf numFmtId="49" fontId="1" fillId="0" borderId="25" xfId="0" applyNumberFormat="1" applyFont="1" applyBorder="1"/>
    <xf numFmtId="2" fontId="9" fillId="3" borderId="25" xfId="0" applyNumberFormat="1" applyFont="1" applyFill="1" applyBorder="1" applyAlignment="1">
      <alignment horizontal="right"/>
    </xf>
    <xf numFmtId="0" fontId="8" fillId="0" borderId="25" xfId="0" applyFont="1" applyBorder="1" applyAlignment="1">
      <alignment wrapText="1"/>
    </xf>
    <xf numFmtId="2" fontId="8" fillId="0" borderId="25" xfId="0" applyNumberFormat="1" applyFont="1" applyBorder="1" applyAlignment="1">
      <alignment horizontal="right"/>
    </xf>
    <xf numFmtId="0" fontId="9" fillId="3" borderId="25" xfId="0" applyFont="1" applyFill="1" applyBorder="1" applyAlignment="1">
      <alignment horizontal="center"/>
    </xf>
    <xf numFmtId="0" fontId="13" fillId="0" borderId="0" xfId="0" applyFont="1"/>
    <xf numFmtId="17" fontId="1" fillId="0" borderId="0" xfId="0" applyNumberFormat="1" applyFont="1"/>
    <xf numFmtId="0" fontId="1" fillId="0" borderId="0" xfId="0" applyFont="1" applyAlignment="1">
      <alignment wrapText="1"/>
    </xf>
    <xf numFmtId="0" fontId="14" fillId="3" borderId="34" xfId="0" applyFont="1" applyFill="1" applyBorder="1" applyAlignment="1">
      <alignment horizontal="center"/>
    </xf>
    <xf numFmtId="0" fontId="15" fillId="0" borderId="35" xfId="0" applyFont="1" applyBorder="1" applyAlignment="1"/>
    <xf numFmtId="0" fontId="15" fillId="0" borderId="35" xfId="0" applyFont="1" applyBorder="1" applyAlignment="1"/>
    <xf numFmtId="0" fontId="15" fillId="0" borderId="36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7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2" fontId="1" fillId="5" borderId="25" xfId="0" applyNumberFormat="1" applyFont="1" applyFill="1" applyBorder="1"/>
    <xf numFmtId="2" fontId="1" fillId="6" borderId="25" xfId="0" applyNumberFormat="1" applyFont="1" applyFill="1" applyBorder="1"/>
    <xf numFmtId="2" fontId="4" fillId="6" borderId="25" xfId="0" applyNumberFormat="1" applyFont="1" applyFill="1" applyBorder="1" applyAlignment="1">
      <alignment horizontal="center"/>
    </xf>
    <xf numFmtId="0" fontId="1" fillId="6" borderId="0" xfId="0" applyFont="1" applyFill="1"/>
    <xf numFmtId="2" fontId="1" fillId="0" borderId="25" xfId="0" applyNumberFormat="1" applyFont="1" applyFill="1" applyBorder="1"/>
    <xf numFmtId="0" fontId="1" fillId="0" borderId="26" xfId="0" applyFont="1" applyBorder="1"/>
    <xf numFmtId="0" fontId="3" fillId="0" borderId="27" xfId="0" applyFont="1" applyBorder="1"/>
    <xf numFmtId="0" fontId="3" fillId="0" borderId="31" xfId="0" applyFont="1" applyBorder="1"/>
    <xf numFmtId="0" fontId="9" fillId="3" borderId="26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3" fillId="0" borderId="30" xfId="0" applyFont="1" applyBorder="1"/>
    <xf numFmtId="0" fontId="3" fillId="0" borderId="32" xfId="0" applyFont="1" applyBorder="1"/>
    <xf numFmtId="0" fontId="3" fillId="0" borderId="33" xfId="0" applyFont="1" applyBorder="1"/>
    <xf numFmtId="0" fontId="12" fillId="4" borderId="26" xfId="0" applyFont="1" applyFill="1" applyBorder="1" applyAlignment="1">
      <alignment horizontal="center"/>
    </xf>
    <xf numFmtId="14" fontId="1" fillId="0" borderId="26" xfId="0" applyNumberFormat="1" applyFont="1" applyBorder="1"/>
    <xf numFmtId="0" fontId="9" fillId="3" borderId="2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4" xfId="0" applyFont="1" applyBorder="1"/>
    <xf numFmtId="164" fontId="4" fillId="0" borderId="21" xfId="0" applyNumberFormat="1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4" fillId="0" borderId="6" xfId="0" applyFont="1" applyBorder="1" applyAlignment="1">
      <alignment wrapText="1"/>
    </xf>
    <xf numFmtId="0" fontId="3" fillId="0" borderId="7" xfId="0" applyFont="1" applyBorder="1"/>
    <xf numFmtId="0" fontId="3" fillId="0" borderId="5" xfId="0" applyFont="1" applyBorder="1"/>
    <xf numFmtId="0" fontId="4" fillId="0" borderId="21" xfId="0" applyFont="1" applyBorder="1" applyAlignment="1">
      <alignment horizontal="center"/>
    </xf>
    <xf numFmtId="0" fontId="4" fillId="2" borderId="6" xfId="0" applyFont="1" applyFill="1" applyBorder="1" applyAlignment="1">
      <alignment wrapText="1"/>
    </xf>
    <xf numFmtId="14" fontId="4" fillId="0" borderId="6" xfId="0" applyNumberFormat="1" applyFont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8" xfId="0" applyFont="1" applyBorder="1"/>
    <xf numFmtId="0" fontId="0" fillId="0" borderId="0" xfId="0" applyFont="1" applyAlignment="1"/>
    <xf numFmtId="0" fontId="3" fillId="0" borderId="9" xfId="0" applyFont="1" applyBorder="1"/>
    <xf numFmtId="0" fontId="3" fillId="0" borderId="10" xfId="0" applyFont="1" applyBorder="1"/>
    <xf numFmtId="0" fontId="4" fillId="2" borderId="4" xfId="0" applyFont="1" applyFill="1" applyBorder="1" applyAlignment="1">
      <alignment wrapText="1"/>
    </xf>
    <xf numFmtId="0" fontId="4" fillId="0" borderId="6" xfId="0" applyFont="1" applyBorder="1" applyAlignment="1">
      <alignment horizontal="right" wrapText="1"/>
    </xf>
    <xf numFmtId="14" fontId="1" fillId="0" borderId="6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0</xdr:rowOff>
    </xdr:from>
    <xdr:ext cx="147637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00"/>
  <sheetViews>
    <sheetView showGridLines="0" tabSelected="1" workbookViewId="0">
      <selection activeCell="K2" sqref="K2:M2"/>
    </sheetView>
  </sheetViews>
  <sheetFormatPr defaultColWidth="14.44140625" defaultRowHeight="15" customHeight="1"/>
  <cols>
    <col min="1" max="1" width="2.88671875" customWidth="1"/>
    <col min="2" max="2" width="34.44140625" customWidth="1"/>
    <col min="3" max="3" width="32.109375" customWidth="1"/>
    <col min="4" max="4" width="24.44140625" customWidth="1"/>
    <col min="5" max="5" width="40" customWidth="1"/>
    <col min="6" max="6" width="9.109375" customWidth="1"/>
    <col min="7" max="12" width="8.6640625" customWidth="1"/>
    <col min="13" max="13" width="8.88671875" customWidth="1"/>
    <col min="14" max="14" width="8.6640625" customWidth="1"/>
    <col min="15" max="15" width="9.6640625" customWidth="1"/>
    <col min="16" max="16" width="9.109375" customWidth="1"/>
    <col min="17" max="24" width="9.6640625" customWidth="1"/>
    <col min="25" max="25" width="10.109375" customWidth="1"/>
    <col min="26" max="26" width="9.6640625" customWidth="1"/>
    <col min="27" max="35" width="10.109375" customWidth="1"/>
    <col min="36" max="36" width="9.6640625" customWidth="1"/>
    <col min="37" max="38" width="11" customWidth="1"/>
  </cols>
  <sheetData>
    <row r="1" spans="1:38" ht="14.4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9.2">
      <c r="A2" s="1"/>
      <c r="B2" s="2"/>
      <c r="C2" s="89" t="s">
        <v>0</v>
      </c>
      <c r="D2" s="90"/>
      <c r="E2" s="90"/>
      <c r="F2" s="3"/>
      <c r="G2" s="3"/>
      <c r="H2" s="3"/>
      <c r="I2" s="95" t="s">
        <v>1</v>
      </c>
      <c r="J2" s="85"/>
      <c r="K2" s="96" t="s">
        <v>2</v>
      </c>
      <c r="L2" s="84"/>
      <c r="M2" s="8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9.2">
      <c r="A3" s="1"/>
      <c r="B3" s="2"/>
      <c r="C3" s="91"/>
      <c r="D3" s="92"/>
      <c r="E3" s="92"/>
      <c r="F3" s="4"/>
      <c r="G3" s="4"/>
      <c r="H3" s="4"/>
      <c r="I3" s="95" t="s">
        <v>3</v>
      </c>
      <c r="J3" s="85"/>
      <c r="K3" s="96">
        <v>4</v>
      </c>
      <c r="L3" s="84"/>
      <c r="M3" s="8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9.2">
      <c r="A4" s="1"/>
      <c r="B4" s="2"/>
      <c r="C4" s="93"/>
      <c r="D4" s="94"/>
      <c r="E4" s="94"/>
      <c r="F4" s="5"/>
      <c r="G4" s="5"/>
      <c r="H4" s="5"/>
      <c r="I4" s="95" t="s">
        <v>4</v>
      </c>
      <c r="J4" s="85"/>
      <c r="K4" s="97"/>
      <c r="L4" s="84"/>
      <c r="M4" s="8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8">
      <c r="A5" s="1"/>
      <c r="B5" s="6"/>
      <c r="C5" s="77" t="s">
        <v>5</v>
      </c>
      <c r="D5" s="78"/>
      <c r="E5" s="79"/>
      <c r="F5" s="7"/>
      <c r="G5" s="8"/>
      <c r="H5" s="2"/>
      <c r="I5" s="2"/>
      <c r="J5" s="2"/>
      <c r="K5" s="9"/>
      <c r="L5" s="9"/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4.4">
      <c r="A6" s="1"/>
      <c r="B6" s="10"/>
      <c r="C6" s="11"/>
      <c r="D6" s="11"/>
      <c r="E6" s="11"/>
      <c r="F6" s="12"/>
      <c r="G6" s="2"/>
      <c r="H6" s="2"/>
      <c r="I6" s="2"/>
      <c r="J6" s="2"/>
      <c r="K6" s="9"/>
      <c r="L6" s="9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0.399999999999999">
      <c r="A7" s="1"/>
      <c r="B7" s="13" t="s">
        <v>6</v>
      </c>
      <c r="C7" s="80">
        <v>45870</v>
      </c>
      <c r="D7" s="81"/>
      <c r="E7" s="82"/>
      <c r="F7" s="1"/>
      <c r="G7" s="1"/>
      <c r="H7" s="1"/>
      <c r="I7" s="83" t="s">
        <v>7</v>
      </c>
      <c r="J7" s="84"/>
      <c r="K7" s="84"/>
      <c r="L7" s="84"/>
      <c r="M7" s="8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0.399999999999999">
      <c r="A8" s="1"/>
      <c r="B8" s="13" t="s">
        <v>8</v>
      </c>
      <c r="C8" s="86" t="s">
        <v>45</v>
      </c>
      <c r="D8" s="81"/>
      <c r="E8" s="82"/>
      <c r="F8" s="1"/>
      <c r="G8" s="1"/>
      <c r="H8" s="1"/>
      <c r="I8" s="14"/>
      <c r="J8" s="14"/>
      <c r="K8" s="14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0.399999999999999">
      <c r="A9" s="1"/>
      <c r="B9" s="13" t="s">
        <v>10</v>
      </c>
      <c r="C9" s="86" t="s">
        <v>11</v>
      </c>
      <c r="D9" s="81"/>
      <c r="E9" s="82"/>
      <c r="F9" s="1"/>
      <c r="G9" s="1"/>
      <c r="H9" s="1"/>
      <c r="I9" s="87" t="s">
        <v>12</v>
      </c>
      <c r="J9" s="85"/>
      <c r="K9" s="88">
        <v>45652</v>
      </c>
      <c r="L9" s="84"/>
      <c r="M9" s="8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0.399999999999999">
      <c r="A10" s="1"/>
      <c r="B10" s="13" t="s">
        <v>13</v>
      </c>
      <c r="C10" s="15"/>
      <c r="D10" s="15"/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0.399999999999999">
      <c r="A11" s="1"/>
      <c r="B11" s="13" t="s">
        <v>14</v>
      </c>
      <c r="C11" s="15"/>
      <c r="D11" s="15"/>
      <c r="E11" s="1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0.399999999999999">
      <c r="A12" s="1"/>
      <c r="B12" s="16"/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6"/>
      <c r="AL12" s="1"/>
    </row>
    <row r="13" spans="1:38" ht="20.399999999999999">
      <c r="A13" s="1"/>
      <c r="B13" s="19" t="s">
        <v>15</v>
      </c>
      <c r="C13" s="20" t="s">
        <v>16</v>
      </c>
      <c r="D13" s="21" t="s">
        <v>17</v>
      </c>
      <c r="E13" s="21" t="s">
        <v>18</v>
      </c>
      <c r="F13" s="22">
        <f>C7</f>
        <v>45870</v>
      </c>
      <c r="G13" s="22">
        <f t="shared" ref="G13:AJ13" si="0">F13+1</f>
        <v>45871</v>
      </c>
      <c r="H13" s="22">
        <f t="shared" si="0"/>
        <v>45872</v>
      </c>
      <c r="I13" s="22">
        <f t="shared" si="0"/>
        <v>45873</v>
      </c>
      <c r="J13" s="22">
        <f t="shared" si="0"/>
        <v>45874</v>
      </c>
      <c r="K13" s="22">
        <f t="shared" si="0"/>
        <v>45875</v>
      </c>
      <c r="L13" s="22">
        <f t="shared" si="0"/>
        <v>45876</v>
      </c>
      <c r="M13" s="22">
        <f t="shared" si="0"/>
        <v>45877</v>
      </c>
      <c r="N13" s="22">
        <f t="shared" si="0"/>
        <v>45878</v>
      </c>
      <c r="O13" s="22">
        <f t="shared" si="0"/>
        <v>45879</v>
      </c>
      <c r="P13" s="22">
        <f t="shared" si="0"/>
        <v>45880</v>
      </c>
      <c r="Q13" s="22">
        <f t="shared" si="0"/>
        <v>45881</v>
      </c>
      <c r="R13" s="22">
        <f t="shared" si="0"/>
        <v>45882</v>
      </c>
      <c r="S13" s="22">
        <f t="shared" si="0"/>
        <v>45883</v>
      </c>
      <c r="T13" s="22">
        <f t="shared" si="0"/>
        <v>45884</v>
      </c>
      <c r="U13" s="22">
        <f t="shared" si="0"/>
        <v>45885</v>
      </c>
      <c r="V13" s="22">
        <f t="shared" si="0"/>
        <v>45886</v>
      </c>
      <c r="W13" s="22">
        <f t="shared" si="0"/>
        <v>45887</v>
      </c>
      <c r="X13" s="22">
        <f t="shared" si="0"/>
        <v>45888</v>
      </c>
      <c r="Y13" s="22">
        <f t="shared" si="0"/>
        <v>45889</v>
      </c>
      <c r="Z13" s="22">
        <f t="shared" si="0"/>
        <v>45890</v>
      </c>
      <c r="AA13" s="22">
        <f t="shared" si="0"/>
        <v>45891</v>
      </c>
      <c r="AB13" s="22">
        <f t="shared" si="0"/>
        <v>45892</v>
      </c>
      <c r="AC13" s="22">
        <f t="shared" si="0"/>
        <v>45893</v>
      </c>
      <c r="AD13" s="22">
        <f t="shared" si="0"/>
        <v>45894</v>
      </c>
      <c r="AE13" s="22">
        <f t="shared" si="0"/>
        <v>45895</v>
      </c>
      <c r="AF13" s="22">
        <f t="shared" si="0"/>
        <v>45896</v>
      </c>
      <c r="AG13" s="22">
        <f t="shared" si="0"/>
        <v>45897</v>
      </c>
      <c r="AH13" s="22">
        <f t="shared" si="0"/>
        <v>45898</v>
      </c>
      <c r="AI13" s="22">
        <f t="shared" si="0"/>
        <v>45899</v>
      </c>
      <c r="AJ13" s="22">
        <f t="shared" si="0"/>
        <v>45900</v>
      </c>
      <c r="AK13" s="20" t="s">
        <v>19</v>
      </c>
      <c r="AL13" s="1"/>
    </row>
    <row r="14" spans="1:38" ht="20.399999999999999">
      <c r="A14" s="1"/>
      <c r="B14" s="23"/>
      <c r="C14" s="24" t="str">
        <f>IFERROR(VLOOKUP($B14,'Restricted 2 - available prjcts'!$A$2:$B$86,2,0),"-")</f>
        <v>-</v>
      </c>
      <c r="D14" s="25"/>
      <c r="E14" s="25"/>
      <c r="F14" s="26"/>
      <c r="G14" s="65"/>
      <c r="H14" s="26"/>
      <c r="I14" s="61"/>
      <c r="J14" s="61"/>
      <c r="K14" s="26"/>
      <c r="L14" s="65"/>
      <c r="M14" s="26"/>
      <c r="N14" s="26"/>
      <c r="O14" s="26"/>
      <c r="P14" s="61"/>
      <c r="Q14" s="61"/>
      <c r="R14" s="26"/>
      <c r="S14" s="26"/>
      <c r="T14" s="26"/>
      <c r="U14" s="26"/>
      <c r="V14" s="26"/>
      <c r="W14" s="61"/>
      <c r="X14" s="61"/>
      <c r="Y14" s="26"/>
      <c r="Z14" s="26"/>
      <c r="AA14" s="26"/>
      <c r="AB14" s="26"/>
      <c r="AC14" s="26"/>
      <c r="AD14" s="61"/>
      <c r="AE14" s="61"/>
      <c r="AF14" s="26"/>
      <c r="AG14" s="26"/>
      <c r="AH14" s="26"/>
      <c r="AI14" s="26"/>
      <c r="AJ14" s="26"/>
      <c r="AK14" s="28">
        <f t="shared" ref="AK14:AK28" si="1">SUM(F14:AJ14)</f>
        <v>0</v>
      </c>
      <c r="AL14" s="29"/>
    </row>
    <row r="15" spans="1:38" ht="20.399999999999999">
      <c r="A15" s="1"/>
      <c r="B15" s="25"/>
      <c r="C15" s="24" t="str">
        <f>IFERROR(VLOOKUP($B15,'Restricted 2 - available prjcts'!$A$2:$B$86,2,0),"-")</f>
        <v>-</v>
      </c>
      <c r="D15" s="25"/>
      <c r="E15" s="25"/>
      <c r="F15" s="26"/>
      <c r="G15" s="65"/>
      <c r="H15" s="26"/>
      <c r="I15" s="61"/>
      <c r="J15" s="61"/>
      <c r="K15" s="26"/>
      <c r="L15" s="26"/>
      <c r="M15" s="26"/>
      <c r="N15" s="26"/>
      <c r="O15" s="26"/>
      <c r="P15" s="61"/>
      <c r="Q15" s="61"/>
      <c r="R15" s="26"/>
      <c r="S15" s="26"/>
      <c r="T15" s="26"/>
      <c r="U15" s="26"/>
      <c r="V15" s="26"/>
      <c r="W15" s="61"/>
      <c r="X15" s="61"/>
      <c r="Y15" s="26"/>
      <c r="Z15" s="26"/>
      <c r="AA15" s="26"/>
      <c r="AB15" s="26"/>
      <c r="AC15" s="26"/>
      <c r="AD15" s="61"/>
      <c r="AE15" s="61"/>
      <c r="AF15" s="26"/>
      <c r="AG15" s="26"/>
      <c r="AH15" s="26"/>
      <c r="AI15" s="26"/>
      <c r="AJ15" s="26"/>
      <c r="AK15" s="28">
        <f t="shared" si="1"/>
        <v>0</v>
      </c>
      <c r="AL15" s="29"/>
    </row>
    <row r="16" spans="1:38" ht="20.399999999999999">
      <c r="A16" s="1"/>
      <c r="B16" s="25"/>
      <c r="C16" s="24" t="str">
        <f>IFERROR(VLOOKUP($B16,'Restricted 2 - available prjcts'!$A$2:$B$86,2,0),"-")</f>
        <v>-</v>
      </c>
      <c r="D16" s="25"/>
      <c r="E16" s="25"/>
      <c r="F16" s="26"/>
      <c r="G16" s="65"/>
      <c r="H16" s="26"/>
      <c r="I16" s="61"/>
      <c r="J16" s="61"/>
      <c r="K16" s="26"/>
      <c r="L16" s="26"/>
      <c r="M16" s="26"/>
      <c r="N16" s="26"/>
      <c r="O16" s="26"/>
      <c r="P16" s="61"/>
      <c r="Q16" s="61"/>
      <c r="R16" s="26"/>
      <c r="S16" s="26"/>
      <c r="T16" s="26"/>
      <c r="U16" s="26"/>
      <c r="V16" s="26"/>
      <c r="W16" s="61"/>
      <c r="X16" s="61"/>
      <c r="Y16" s="26"/>
      <c r="Z16" s="26"/>
      <c r="AA16" s="26"/>
      <c r="AB16" s="26"/>
      <c r="AC16" s="26"/>
      <c r="AD16" s="61"/>
      <c r="AE16" s="61"/>
      <c r="AF16" s="26"/>
      <c r="AG16" s="26"/>
      <c r="AH16" s="26"/>
      <c r="AI16" s="26"/>
      <c r="AJ16" s="26"/>
      <c r="AK16" s="28">
        <f t="shared" si="1"/>
        <v>0</v>
      </c>
      <c r="AL16" s="29"/>
    </row>
    <row r="17" spans="1:38" ht="20.399999999999999">
      <c r="A17" s="1"/>
      <c r="B17" s="25"/>
      <c r="C17" s="24" t="str">
        <f>IFERROR(VLOOKUP($B17,'Restricted 2 - available prjcts'!$A$2:$B$86,2,0),"-")</f>
        <v>-</v>
      </c>
      <c r="D17" s="25"/>
      <c r="E17" s="25"/>
      <c r="F17" s="26"/>
      <c r="G17" s="65"/>
      <c r="H17" s="26"/>
      <c r="I17" s="61"/>
      <c r="J17" s="61"/>
      <c r="K17" s="26"/>
      <c r="L17" s="26"/>
      <c r="M17" s="26"/>
      <c r="N17" s="26"/>
      <c r="O17" s="26"/>
      <c r="P17" s="61"/>
      <c r="Q17" s="61"/>
      <c r="R17" s="26"/>
      <c r="S17" s="26"/>
      <c r="T17" s="26"/>
      <c r="U17" s="26"/>
      <c r="V17" s="26"/>
      <c r="W17" s="61"/>
      <c r="X17" s="61"/>
      <c r="Y17" s="26"/>
      <c r="Z17" s="26"/>
      <c r="AA17" s="26"/>
      <c r="AB17" s="26"/>
      <c r="AC17" s="26"/>
      <c r="AD17" s="61"/>
      <c r="AE17" s="61"/>
      <c r="AF17" s="26"/>
      <c r="AG17" s="26"/>
      <c r="AH17" s="26"/>
      <c r="AI17" s="26"/>
      <c r="AJ17" s="26"/>
      <c r="AK17" s="28">
        <f t="shared" si="1"/>
        <v>0</v>
      </c>
      <c r="AL17" s="29"/>
    </row>
    <row r="18" spans="1:38" ht="20.399999999999999">
      <c r="A18" s="1"/>
      <c r="B18" s="25"/>
      <c r="C18" s="24" t="str">
        <f>IFERROR(VLOOKUP($B18,'Restricted 2 - available prjcts'!$A$2:$B$86,2,0),"-")</f>
        <v>-</v>
      </c>
      <c r="D18" s="25"/>
      <c r="E18" s="25"/>
      <c r="F18" s="26"/>
      <c r="G18" s="65"/>
      <c r="H18" s="26"/>
      <c r="I18" s="61"/>
      <c r="J18" s="61"/>
      <c r="K18" s="26"/>
      <c r="L18" s="26"/>
      <c r="M18" s="26"/>
      <c r="N18" s="26"/>
      <c r="O18" s="26"/>
      <c r="P18" s="61"/>
      <c r="Q18" s="61"/>
      <c r="R18" s="26"/>
      <c r="S18" s="26"/>
      <c r="T18" s="26"/>
      <c r="U18" s="26"/>
      <c r="V18" s="26"/>
      <c r="W18" s="61"/>
      <c r="X18" s="61"/>
      <c r="Y18" s="26"/>
      <c r="Z18" s="26"/>
      <c r="AA18" s="26"/>
      <c r="AB18" s="26"/>
      <c r="AC18" s="26"/>
      <c r="AD18" s="61"/>
      <c r="AE18" s="61"/>
      <c r="AF18" s="26"/>
      <c r="AG18" s="26"/>
      <c r="AH18" s="26"/>
      <c r="AI18" s="26"/>
      <c r="AJ18" s="26"/>
      <c r="AK18" s="28">
        <f t="shared" si="1"/>
        <v>0</v>
      </c>
      <c r="AL18" s="29"/>
    </row>
    <row r="19" spans="1:38" ht="20.399999999999999">
      <c r="A19" s="1"/>
      <c r="B19" s="25"/>
      <c r="C19" s="24" t="str">
        <f>IFERROR(VLOOKUP($B19,'Restricted 2 - available prjcts'!$A$2:$B$86,2,0),"-")</f>
        <v>-</v>
      </c>
      <c r="D19" s="25"/>
      <c r="E19" s="25"/>
      <c r="F19" s="26"/>
      <c r="G19" s="65"/>
      <c r="H19" s="26"/>
      <c r="I19" s="61"/>
      <c r="J19" s="61"/>
      <c r="K19" s="26"/>
      <c r="L19" s="26"/>
      <c r="M19" s="26"/>
      <c r="N19" s="26"/>
      <c r="O19" s="26"/>
      <c r="P19" s="61"/>
      <c r="Q19" s="61"/>
      <c r="R19" s="26"/>
      <c r="S19" s="26"/>
      <c r="T19" s="26"/>
      <c r="U19" s="26"/>
      <c r="V19" s="26"/>
      <c r="W19" s="61"/>
      <c r="X19" s="61"/>
      <c r="Y19" s="26"/>
      <c r="Z19" s="26"/>
      <c r="AA19" s="26"/>
      <c r="AB19" s="26"/>
      <c r="AC19" s="26"/>
      <c r="AD19" s="61"/>
      <c r="AE19" s="61"/>
      <c r="AF19" s="26"/>
      <c r="AG19" s="26"/>
      <c r="AH19" s="26"/>
      <c r="AI19" s="26"/>
      <c r="AJ19" s="26"/>
      <c r="AK19" s="28">
        <f t="shared" si="1"/>
        <v>0</v>
      </c>
      <c r="AL19" s="29"/>
    </row>
    <row r="20" spans="1:38" ht="20.399999999999999">
      <c r="A20" s="1"/>
      <c r="B20" s="25"/>
      <c r="C20" s="24" t="str">
        <f>IFERROR(VLOOKUP($B20,'Restricted 2 - available prjcts'!$A$2:$B$86,2,0),"-")</f>
        <v>-</v>
      </c>
      <c r="D20" s="25"/>
      <c r="E20" s="25"/>
      <c r="F20" s="26"/>
      <c r="G20" s="65"/>
      <c r="H20" s="26"/>
      <c r="I20" s="61"/>
      <c r="J20" s="61"/>
      <c r="K20" s="26"/>
      <c r="L20" s="26"/>
      <c r="M20" s="26"/>
      <c r="N20" s="26"/>
      <c r="O20" s="26"/>
      <c r="P20" s="61"/>
      <c r="Q20" s="61"/>
      <c r="R20" s="26"/>
      <c r="S20" s="26"/>
      <c r="T20" s="26"/>
      <c r="U20" s="26"/>
      <c r="V20" s="26"/>
      <c r="W20" s="61"/>
      <c r="X20" s="61"/>
      <c r="Y20" s="26"/>
      <c r="Z20" s="26"/>
      <c r="AA20" s="26"/>
      <c r="AB20" s="26"/>
      <c r="AC20" s="26"/>
      <c r="AD20" s="61"/>
      <c r="AE20" s="61"/>
      <c r="AF20" s="26"/>
      <c r="AG20" s="26"/>
      <c r="AH20" s="26"/>
      <c r="AI20" s="26"/>
      <c r="AJ20" s="26"/>
      <c r="AK20" s="28">
        <f t="shared" si="1"/>
        <v>0</v>
      </c>
      <c r="AL20" s="29"/>
    </row>
    <row r="21" spans="1:38" ht="20.399999999999999">
      <c r="A21" s="1"/>
      <c r="B21" s="25"/>
      <c r="C21" s="24" t="str">
        <f>IFERROR(VLOOKUP($B21,'Restricted 2 - available prjcts'!$A$2:$B$86,2,0),"-")</f>
        <v>-</v>
      </c>
      <c r="D21" s="25"/>
      <c r="E21" s="25"/>
      <c r="F21" s="26"/>
      <c r="G21" s="65"/>
      <c r="H21" s="26"/>
      <c r="I21" s="61"/>
      <c r="J21" s="61"/>
      <c r="K21" s="26"/>
      <c r="L21" s="26"/>
      <c r="M21" s="26"/>
      <c r="N21" s="26"/>
      <c r="O21" s="26"/>
      <c r="P21" s="61"/>
      <c r="Q21" s="61"/>
      <c r="R21" s="26"/>
      <c r="S21" s="26"/>
      <c r="T21" s="26"/>
      <c r="U21" s="26"/>
      <c r="V21" s="26"/>
      <c r="W21" s="61"/>
      <c r="X21" s="61"/>
      <c r="Y21" s="26"/>
      <c r="Z21" s="26"/>
      <c r="AA21" s="26"/>
      <c r="AB21" s="26"/>
      <c r="AC21" s="26"/>
      <c r="AD21" s="61"/>
      <c r="AE21" s="61"/>
      <c r="AF21" s="26"/>
      <c r="AG21" s="26"/>
      <c r="AH21" s="26"/>
      <c r="AI21" s="26"/>
      <c r="AJ21" s="26"/>
      <c r="AK21" s="28">
        <f t="shared" si="1"/>
        <v>0</v>
      </c>
      <c r="AL21" s="29"/>
    </row>
    <row r="22" spans="1:38" ht="20.399999999999999">
      <c r="A22" s="1"/>
      <c r="B22" s="25"/>
      <c r="C22" s="24" t="str">
        <f>IFERROR(VLOOKUP($B22,'Restricted 2 - available prjcts'!$A$2:$B$86,2,0),"-")</f>
        <v>-</v>
      </c>
      <c r="D22" s="25"/>
      <c r="E22" s="25"/>
      <c r="F22" s="26"/>
      <c r="G22" s="65"/>
      <c r="H22" s="26"/>
      <c r="I22" s="61"/>
      <c r="J22" s="61"/>
      <c r="K22" s="26"/>
      <c r="L22" s="26"/>
      <c r="M22" s="26"/>
      <c r="N22" s="26"/>
      <c r="O22" s="26"/>
      <c r="P22" s="61"/>
      <c r="Q22" s="61"/>
      <c r="R22" s="26"/>
      <c r="S22" s="26"/>
      <c r="T22" s="26"/>
      <c r="U22" s="26"/>
      <c r="V22" s="26"/>
      <c r="W22" s="61"/>
      <c r="X22" s="61"/>
      <c r="Y22" s="26"/>
      <c r="Z22" s="26"/>
      <c r="AA22" s="26"/>
      <c r="AB22" s="26"/>
      <c r="AC22" s="26"/>
      <c r="AD22" s="61"/>
      <c r="AE22" s="61"/>
      <c r="AF22" s="26"/>
      <c r="AG22" s="26"/>
      <c r="AH22" s="26"/>
      <c r="AI22" s="26"/>
      <c r="AJ22" s="26"/>
      <c r="AK22" s="28">
        <f t="shared" si="1"/>
        <v>0</v>
      </c>
      <c r="AL22" s="29"/>
    </row>
    <row r="23" spans="1:38" ht="20.399999999999999">
      <c r="A23" s="1"/>
      <c r="B23" s="25"/>
      <c r="C23" s="24" t="str">
        <f>IFERROR(VLOOKUP($B23,'Restricted 2 - available prjcts'!$A$2:$B$86,2,0),"-")</f>
        <v>-</v>
      </c>
      <c r="D23" s="25"/>
      <c r="E23" s="25"/>
      <c r="F23" s="26"/>
      <c r="G23" s="65"/>
      <c r="H23" s="26"/>
      <c r="I23" s="61"/>
      <c r="J23" s="61"/>
      <c r="K23" s="26"/>
      <c r="L23" s="26"/>
      <c r="M23" s="26"/>
      <c r="N23" s="26"/>
      <c r="O23" s="26"/>
      <c r="P23" s="61"/>
      <c r="Q23" s="61"/>
      <c r="R23" s="26"/>
      <c r="S23" s="26"/>
      <c r="T23" s="26"/>
      <c r="U23" s="26"/>
      <c r="V23" s="26"/>
      <c r="W23" s="61"/>
      <c r="X23" s="61"/>
      <c r="Y23" s="26"/>
      <c r="Z23" s="26"/>
      <c r="AA23" s="26"/>
      <c r="AB23" s="26"/>
      <c r="AC23" s="26"/>
      <c r="AD23" s="61"/>
      <c r="AE23" s="61"/>
      <c r="AF23" s="26"/>
      <c r="AG23" s="26"/>
      <c r="AH23" s="26"/>
      <c r="AI23" s="26"/>
      <c r="AJ23" s="26"/>
      <c r="AK23" s="28">
        <f t="shared" si="1"/>
        <v>0</v>
      </c>
      <c r="AL23" s="29"/>
    </row>
    <row r="24" spans="1:38" ht="20.399999999999999">
      <c r="A24" s="1"/>
      <c r="B24" s="25"/>
      <c r="C24" s="24" t="str">
        <f>IFERROR(VLOOKUP($B24,'Restricted 2 - available prjcts'!$A$2:$B$86,2,0),"-")</f>
        <v>-</v>
      </c>
      <c r="D24" s="25"/>
      <c r="E24" s="25"/>
      <c r="F24" s="26"/>
      <c r="G24" s="65"/>
      <c r="H24" s="26"/>
      <c r="I24" s="61"/>
      <c r="J24" s="61"/>
      <c r="K24" s="26"/>
      <c r="L24" s="26"/>
      <c r="M24" s="26"/>
      <c r="N24" s="26"/>
      <c r="O24" s="26"/>
      <c r="P24" s="61"/>
      <c r="Q24" s="61"/>
      <c r="R24" s="26"/>
      <c r="S24" s="26"/>
      <c r="T24" s="26"/>
      <c r="U24" s="26"/>
      <c r="V24" s="26"/>
      <c r="W24" s="61"/>
      <c r="X24" s="61"/>
      <c r="Y24" s="26"/>
      <c r="Z24" s="26"/>
      <c r="AA24" s="26"/>
      <c r="AB24" s="26"/>
      <c r="AC24" s="26"/>
      <c r="AD24" s="61"/>
      <c r="AE24" s="61"/>
      <c r="AF24" s="26"/>
      <c r="AG24" s="26"/>
      <c r="AH24" s="26"/>
      <c r="AI24" s="26"/>
      <c r="AJ24" s="26"/>
      <c r="AK24" s="28">
        <f t="shared" si="1"/>
        <v>0</v>
      </c>
      <c r="AL24" s="29"/>
    </row>
    <row r="25" spans="1:38" ht="20.399999999999999">
      <c r="A25" s="1"/>
      <c r="B25" s="25"/>
      <c r="C25" s="24" t="str">
        <f>IFERROR(VLOOKUP($B25,'Restricted 2 - available prjcts'!$A$2:$B$86,2,0),"-")</f>
        <v>-</v>
      </c>
      <c r="D25" s="25"/>
      <c r="E25" s="25"/>
      <c r="F25" s="26"/>
      <c r="G25" s="65"/>
      <c r="H25" s="26"/>
      <c r="I25" s="61"/>
      <c r="J25" s="61"/>
      <c r="K25" s="26"/>
      <c r="L25" s="26"/>
      <c r="M25" s="26"/>
      <c r="N25" s="26"/>
      <c r="O25" s="26"/>
      <c r="P25" s="61"/>
      <c r="Q25" s="61"/>
      <c r="R25" s="26"/>
      <c r="S25" s="26"/>
      <c r="T25" s="26"/>
      <c r="U25" s="26"/>
      <c r="V25" s="26"/>
      <c r="W25" s="61"/>
      <c r="X25" s="61"/>
      <c r="Y25" s="26"/>
      <c r="Z25" s="26"/>
      <c r="AA25" s="26"/>
      <c r="AB25" s="26"/>
      <c r="AC25" s="26"/>
      <c r="AD25" s="61"/>
      <c r="AE25" s="61"/>
      <c r="AF25" s="26"/>
      <c r="AG25" s="26"/>
      <c r="AH25" s="26"/>
      <c r="AI25" s="26"/>
      <c r="AJ25" s="26"/>
      <c r="AK25" s="28">
        <f t="shared" si="1"/>
        <v>0</v>
      </c>
      <c r="AL25" s="29"/>
    </row>
    <row r="26" spans="1:38" ht="20.399999999999999">
      <c r="A26" s="1"/>
      <c r="B26" s="25"/>
      <c r="C26" s="24" t="str">
        <f>IFERROR(VLOOKUP($B26,'Restricted 2 - available prjcts'!$A$2:$B$86,2,0),"-")</f>
        <v>-</v>
      </c>
      <c r="D26" s="25"/>
      <c r="E26" s="25"/>
      <c r="F26" s="26"/>
      <c r="G26" s="65"/>
      <c r="H26" s="26"/>
      <c r="I26" s="61"/>
      <c r="J26" s="61"/>
      <c r="K26" s="26"/>
      <c r="L26" s="26"/>
      <c r="M26" s="26"/>
      <c r="N26" s="26"/>
      <c r="O26" s="26"/>
      <c r="P26" s="61"/>
      <c r="Q26" s="61"/>
      <c r="R26" s="26"/>
      <c r="S26" s="26"/>
      <c r="T26" s="26"/>
      <c r="U26" s="26"/>
      <c r="V26" s="26"/>
      <c r="W26" s="61"/>
      <c r="X26" s="61"/>
      <c r="Y26" s="26"/>
      <c r="Z26" s="26"/>
      <c r="AA26" s="26"/>
      <c r="AB26" s="26"/>
      <c r="AC26" s="26"/>
      <c r="AD26" s="61"/>
      <c r="AE26" s="61"/>
      <c r="AF26" s="26"/>
      <c r="AG26" s="26"/>
      <c r="AH26" s="26"/>
      <c r="AI26" s="26"/>
      <c r="AJ26" s="26"/>
      <c r="AK26" s="28">
        <f t="shared" si="1"/>
        <v>0</v>
      </c>
      <c r="AL26" s="29"/>
    </row>
    <row r="27" spans="1:38" ht="20.399999999999999">
      <c r="A27" s="1"/>
      <c r="B27" s="25"/>
      <c r="C27" s="24" t="str">
        <f>IFERROR(VLOOKUP($B27,'Restricted 2 - available prjcts'!$A$2:$B$86,2,0),"-")</f>
        <v>-</v>
      </c>
      <c r="D27" s="25"/>
      <c r="E27" s="25"/>
      <c r="F27" s="26"/>
      <c r="G27" s="65"/>
      <c r="H27" s="26"/>
      <c r="I27" s="61"/>
      <c r="J27" s="61"/>
      <c r="K27" s="26"/>
      <c r="L27" s="26"/>
      <c r="M27" s="26"/>
      <c r="N27" s="26"/>
      <c r="O27" s="26"/>
      <c r="P27" s="61"/>
      <c r="Q27" s="61"/>
      <c r="R27" s="26"/>
      <c r="S27" s="26"/>
      <c r="T27" s="26"/>
      <c r="U27" s="26"/>
      <c r="V27" s="26"/>
      <c r="W27" s="61"/>
      <c r="X27" s="61"/>
      <c r="Y27" s="26"/>
      <c r="Z27" s="26"/>
      <c r="AA27" s="26"/>
      <c r="AB27" s="26"/>
      <c r="AC27" s="26"/>
      <c r="AD27" s="61"/>
      <c r="AE27" s="61"/>
      <c r="AF27" s="26"/>
      <c r="AG27" s="26"/>
      <c r="AH27" s="26"/>
      <c r="AI27" s="26"/>
      <c r="AJ27" s="26"/>
      <c r="AK27" s="28">
        <f t="shared" si="1"/>
        <v>0</v>
      </c>
      <c r="AL27" s="29"/>
    </row>
    <row r="28" spans="1:38" ht="20.399999999999999">
      <c r="A28" s="1"/>
      <c r="B28" s="25"/>
      <c r="C28" s="24" t="str">
        <f>IFERROR(VLOOKUP($B28,'Restricted 2 - available prjcts'!$A$2:$B$86,2,0),"-")</f>
        <v>-</v>
      </c>
      <c r="D28" s="25"/>
      <c r="E28" s="25"/>
      <c r="F28" s="26"/>
      <c r="G28" s="65"/>
      <c r="H28" s="26"/>
      <c r="I28" s="61"/>
      <c r="J28" s="61"/>
      <c r="K28" s="26"/>
      <c r="L28" s="26"/>
      <c r="M28" s="26"/>
      <c r="N28" s="26"/>
      <c r="O28" s="26"/>
      <c r="P28" s="61"/>
      <c r="Q28" s="61"/>
      <c r="R28" s="26"/>
      <c r="S28" s="26"/>
      <c r="T28" s="26"/>
      <c r="U28" s="26"/>
      <c r="V28" s="26"/>
      <c r="W28" s="61"/>
      <c r="X28" s="61"/>
      <c r="Y28" s="26"/>
      <c r="Z28" s="26"/>
      <c r="AA28" s="26"/>
      <c r="AB28" s="26"/>
      <c r="AC28" s="26"/>
      <c r="AD28" s="61"/>
      <c r="AE28" s="61"/>
      <c r="AF28" s="26"/>
      <c r="AG28" s="26"/>
      <c r="AH28" s="26"/>
      <c r="AI28" s="26"/>
      <c r="AJ28" s="26"/>
      <c r="AK28" s="28">
        <f t="shared" si="1"/>
        <v>0</v>
      </c>
      <c r="AL28" s="29"/>
    </row>
    <row r="29" spans="1:38" ht="20.399999999999999">
      <c r="A29" s="1"/>
      <c r="B29" s="30"/>
      <c r="C29" s="31"/>
      <c r="D29" s="31"/>
      <c r="E29" s="32" t="s">
        <v>20</v>
      </c>
      <c r="F29" s="28">
        <f t="shared" ref="F29:AK29" si="2">SUM(F14:F28)</f>
        <v>0</v>
      </c>
      <c r="G29" s="28">
        <f t="shared" si="2"/>
        <v>0</v>
      </c>
      <c r="H29" s="28">
        <f t="shared" si="2"/>
        <v>0</v>
      </c>
      <c r="I29" s="28">
        <f t="shared" si="2"/>
        <v>0</v>
      </c>
      <c r="J29" s="28">
        <f t="shared" si="2"/>
        <v>0</v>
      </c>
      <c r="K29" s="28">
        <f t="shared" si="2"/>
        <v>0</v>
      </c>
      <c r="L29" s="63">
        <f t="shared" si="2"/>
        <v>0</v>
      </c>
      <c r="M29" s="28">
        <f t="shared" si="2"/>
        <v>0</v>
      </c>
      <c r="N29" s="28">
        <f t="shared" si="2"/>
        <v>0</v>
      </c>
      <c r="O29" s="28">
        <f t="shared" si="2"/>
        <v>0</v>
      </c>
      <c r="P29" s="28">
        <f t="shared" si="2"/>
        <v>0</v>
      </c>
      <c r="Q29" s="28">
        <f t="shared" si="2"/>
        <v>0</v>
      </c>
      <c r="R29" s="28">
        <f t="shared" si="2"/>
        <v>0</v>
      </c>
      <c r="S29" s="28">
        <f t="shared" si="2"/>
        <v>0</v>
      </c>
      <c r="T29" s="28">
        <f t="shared" si="2"/>
        <v>0</v>
      </c>
      <c r="U29" s="28">
        <f t="shared" si="2"/>
        <v>0</v>
      </c>
      <c r="V29" s="28">
        <f t="shared" si="2"/>
        <v>0</v>
      </c>
      <c r="W29" s="28">
        <f t="shared" si="2"/>
        <v>0</v>
      </c>
      <c r="X29" s="28">
        <f t="shared" si="2"/>
        <v>0</v>
      </c>
      <c r="Y29" s="28">
        <f t="shared" si="2"/>
        <v>0</v>
      </c>
      <c r="Z29" s="28">
        <f t="shared" si="2"/>
        <v>0</v>
      </c>
      <c r="AA29" s="28">
        <f t="shared" si="2"/>
        <v>0</v>
      </c>
      <c r="AB29" s="28">
        <f t="shared" si="2"/>
        <v>0</v>
      </c>
      <c r="AC29" s="28">
        <f t="shared" si="2"/>
        <v>0</v>
      </c>
      <c r="AD29" s="28">
        <f t="shared" si="2"/>
        <v>0</v>
      </c>
      <c r="AE29" s="28">
        <f t="shared" si="2"/>
        <v>0</v>
      </c>
      <c r="AF29" s="28">
        <f t="shared" si="2"/>
        <v>0</v>
      </c>
      <c r="AG29" s="28">
        <f t="shared" si="2"/>
        <v>0</v>
      </c>
      <c r="AH29" s="28">
        <f t="shared" si="2"/>
        <v>0</v>
      </c>
      <c r="AI29" s="28">
        <f t="shared" si="2"/>
        <v>0</v>
      </c>
      <c r="AJ29" s="28">
        <f t="shared" si="2"/>
        <v>0</v>
      </c>
      <c r="AK29" s="28">
        <f t="shared" si="2"/>
        <v>0</v>
      </c>
      <c r="AL29" s="29"/>
    </row>
    <row r="30" spans="1:38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6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33"/>
      <c r="AL30" s="29"/>
    </row>
    <row r="31" spans="1:38" ht="14.4">
      <c r="A31" s="1"/>
      <c r="B31" s="1"/>
      <c r="C31" s="1"/>
      <c r="D31" s="1"/>
      <c r="E31" s="34" t="s">
        <v>21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29"/>
    </row>
    <row r="32" spans="1:38" ht="20.399999999999999">
      <c r="A32" s="1"/>
      <c r="B32" s="1"/>
      <c r="C32" s="1"/>
      <c r="D32" s="1"/>
      <c r="E32" s="37" t="s">
        <v>22</v>
      </c>
      <c r="F32" s="26"/>
      <c r="G32" s="26"/>
      <c r="H32" s="26"/>
      <c r="I32" s="61"/>
      <c r="J32" s="61"/>
      <c r="K32" s="26"/>
      <c r="L32" s="62"/>
      <c r="M32" s="26"/>
      <c r="N32" s="26"/>
      <c r="O32" s="26"/>
      <c r="P32" s="27"/>
      <c r="Q32" s="27"/>
      <c r="R32" s="26"/>
      <c r="S32" s="26"/>
      <c r="T32" s="26"/>
      <c r="U32" s="26"/>
      <c r="V32" s="26"/>
      <c r="W32" s="61"/>
      <c r="X32" s="61"/>
      <c r="Y32" s="26"/>
      <c r="Z32" s="26"/>
      <c r="AA32" s="26"/>
      <c r="AB32" s="26"/>
      <c r="AC32" s="26"/>
      <c r="AD32" s="61"/>
      <c r="AE32" s="61"/>
      <c r="AF32" s="26"/>
      <c r="AG32" s="26"/>
      <c r="AH32" s="26"/>
      <c r="AI32" s="26"/>
      <c r="AJ32" s="26"/>
      <c r="AK32" s="28">
        <f t="shared" ref="AK32:AK35" si="3">SUM(F32:AJ32)</f>
        <v>0</v>
      </c>
      <c r="AL32" s="29"/>
    </row>
    <row r="33" spans="1:38" ht="20.399999999999999">
      <c r="A33" s="1"/>
      <c r="B33" s="1"/>
      <c r="C33" s="1"/>
      <c r="D33" s="1"/>
      <c r="E33" s="37" t="s">
        <v>23</v>
      </c>
      <c r="F33" s="26"/>
      <c r="G33" s="26"/>
      <c r="H33" s="26"/>
      <c r="I33" s="61"/>
      <c r="J33" s="61"/>
      <c r="K33" s="26"/>
      <c r="L33" s="62"/>
      <c r="M33" s="26"/>
      <c r="N33" s="26"/>
      <c r="O33" s="26"/>
      <c r="P33" s="27"/>
      <c r="Q33" s="27"/>
      <c r="R33" s="26"/>
      <c r="S33" s="26"/>
      <c r="T33" s="26"/>
      <c r="U33" s="26"/>
      <c r="V33" s="26"/>
      <c r="W33" s="61"/>
      <c r="X33" s="61"/>
      <c r="Y33" s="26"/>
      <c r="Z33" s="26"/>
      <c r="AA33" s="26"/>
      <c r="AB33" s="26"/>
      <c r="AC33" s="26"/>
      <c r="AD33" s="61"/>
      <c r="AE33" s="61"/>
      <c r="AF33" s="26"/>
      <c r="AG33" s="26"/>
      <c r="AH33" s="26"/>
      <c r="AI33" s="26"/>
      <c r="AJ33" s="26"/>
      <c r="AK33" s="28">
        <f t="shared" si="3"/>
        <v>0</v>
      </c>
      <c r="AL33" s="29"/>
    </row>
    <row r="34" spans="1:38" ht="21.6">
      <c r="A34" s="1"/>
      <c r="B34" s="38" t="s">
        <v>24</v>
      </c>
      <c r="C34" s="1"/>
      <c r="D34" s="1"/>
      <c r="E34" s="37" t="s">
        <v>25</v>
      </c>
      <c r="F34" s="26"/>
      <c r="G34" s="26"/>
      <c r="H34" s="26"/>
      <c r="I34" s="61"/>
      <c r="J34" s="61"/>
      <c r="K34" s="26"/>
      <c r="L34" s="62"/>
      <c r="M34" s="26"/>
      <c r="N34" s="26"/>
      <c r="O34" s="26"/>
      <c r="P34" s="27"/>
      <c r="Q34" s="27"/>
      <c r="R34" s="26"/>
      <c r="S34" s="26"/>
      <c r="T34" s="26"/>
      <c r="U34" s="26"/>
      <c r="V34" s="26"/>
      <c r="W34" s="61"/>
      <c r="X34" s="61"/>
      <c r="Y34" s="26"/>
      <c r="Z34" s="26"/>
      <c r="AA34" s="26"/>
      <c r="AB34" s="26"/>
      <c r="AC34" s="26"/>
      <c r="AD34" s="61"/>
      <c r="AE34" s="61"/>
      <c r="AF34" s="26"/>
      <c r="AG34" s="26"/>
      <c r="AH34" s="26"/>
      <c r="AI34" s="26"/>
      <c r="AJ34" s="26"/>
      <c r="AK34" s="28">
        <f t="shared" si="3"/>
        <v>0</v>
      </c>
      <c r="AL34" s="29"/>
    </row>
    <row r="35" spans="1:38" ht="20.399999999999999">
      <c r="A35" s="1"/>
      <c r="B35" s="14"/>
      <c r="C35" s="1"/>
      <c r="D35" s="1"/>
      <c r="E35" s="37" t="s">
        <v>26</v>
      </c>
      <c r="F35" s="26"/>
      <c r="G35" s="26"/>
      <c r="H35" s="26"/>
      <c r="I35" s="61"/>
      <c r="J35" s="61"/>
      <c r="K35" s="26"/>
      <c r="L35" s="62"/>
      <c r="M35" s="26"/>
      <c r="N35" s="26"/>
      <c r="O35" s="26"/>
      <c r="P35" s="27"/>
      <c r="Q35" s="27"/>
      <c r="R35" s="26"/>
      <c r="S35" s="26"/>
      <c r="T35" s="26"/>
      <c r="U35" s="26"/>
      <c r="V35" s="26"/>
      <c r="W35" s="61"/>
      <c r="X35" s="61"/>
      <c r="Y35" s="26"/>
      <c r="Z35" s="26"/>
      <c r="AA35" s="26"/>
      <c r="AB35" s="26"/>
      <c r="AC35" s="26"/>
      <c r="AD35" s="61"/>
      <c r="AE35" s="61"/>
      <c r="AF35" s="26"/>
      <c r="AG35" s="26"/>
      <c r="AH35" s="26"/>
      <c r="AI35" s="26"/>
      <c r="AJ35" s="26"/>
      <c r="AK35" s="28">
        <f t="shared" si="3"/>
        <v>0</v>
      </c>
      <c r="AL35" s="29"/>
    </row>
    <row r="36" spans="1:38" ht="20.399999999999999">
      <c r="A36" s="1"/>
      <c r="B36" s="39" t="str">
        <f>C9&amp;" "&amp;B38&amp;" "&amp;"timesheet"</f>
        <v>[include your name] 08-2025 timesheet</v>
      </c>
      <c r="C36" s="1"/>
      <c r="D36" s="1"/>
      <c r="E36" s="40" t="s">
        <v>19</v>
      </c>
      <c r="F36" s="28">
        <f t="shared" ref="F36:AK36" si="4">SUM(F32:F35)</f>
        <v>0</v>
      </c>
      <c r="G36" s="28">
        <f t="shared" si="4"/>
        <v>0</v>
      </c>
      <c r="H36" s="28">
        <f t="shared" si="4"/>
        <v>0</v>
      </c>
      <c r="I36" s="28">
        <f t="shared" si="4"/>
        <v>0</v>
      </c>
      <c r="J36" s="28">
        <f t="shared" si="4"/>
        <v>0</v>
      </c>
      <c r="K36" s="28">
        <f t="shared" si="4"/>
        <v>0</v>
      </c>
      <c r="L36" s="28">
        <f t="shared" si="4"/>
        <v>0</v>
      </c>
      <c r="M36" s="28">
        <f t="shared" si="4"/>
        <v>0</v>
      </c>
      <c r="N36" s="28">
        <f t="shared" si="4"/>
        <v>0</v>
      </c>
      <c r="O36" s="28">
        <f t="shared" si="4"/>
        <v>0</v>
      </c>
      <c r="P36" s="28">
        <f t="shared" si="4"/>
        <v>0</v>
      </c>
      <c r="Q36" s="28">
        <f t="shared" si="4"/>
        <v>0</v>
      </c>
      <c r="R36" s="28">
        <f t="shared" si="4"/>
        <v>0</v>
      </c>
      <c r="S36" s="28">
        <f t="shared" si="4"/>
        <v>0</v>
      </c>
      <c r="T36" s="28">
        <f t="shared" si="4"/>
        <v>0</v>
      </c>
      <c r="U36" s="28">
        <f t="shared" si="4"/>
        <v>0</v>
      </c>
      <c r="V36" s="28">
        <f t="shared" si="4"/>
        <v>0</v>
      </c>
      <c r="W36" s="28">
        <f t="shared" si="4"/>
        <v>0</v>
      </c>
      <c r="X36" s="28">
        <f t="shared" si="4"/>
        <v>0</v>
      </c>
      <c r="Y36" s="28">
        <f t="shared" si="4"/>
        <v>0</v>
      </c>
      <c r="Z36" s="28">
        <f t="shared" si="4"/>
        <v>0</v>
      </c>
      <c r="AA36" s="28">
        <f t="shared" si="4"/>
        <v>0</v>
      </c>
      <c r="AB36" s="28">
        <f t="shared" si="4"/>
        <v>0</v>
      </c>
      <c r="AC36" s="28">
        <f t="shared" si="4"/>
        <v>0</v>
      </c>
      <c r="AD36" s="28">
        <f t="shared" si="4"/>
        <v>0</v>
      </c>
      <c r="AE36" s="28">
        <f t="shared" si="4"/>
        <v>0</v>
      </c>
      <c r="AF36" s="28">
        <f t="shared" si="4"/>
        <v>0</v>
      </c>
      <c r="AG36" s="28">
        <f t="shared" si="4"/>
        <v>0</v>
      </c>
      <c r="AH36" s="28">
        <f t="shared" si="4"/>
        <v>0</v>
      </c>
      <c r="AI36" s="28">
        <f t="shared" si="4"/>
        <v>0</v>
      </c>
      <c r="AJ36" s="28">
        <f t="shared" si="4"/>
        <v>0</v>
      </c>
      <c r="AK36" s="41">
        <f t="shared" si="4"/>
        <v>0</v>
      </c>
      <c r="AL36" s="42"/>
    </row>
    <row r="37" spans="1:38" ht="14.4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4.4" hidden="1">
      <c r="A38" s="1"/>
      <c r="B38" s="43" t="str">
        <f>TEXT(C7,"mm-yyyy")</f>
        <v>08-2025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4.4">
      <c r="A40" s="1"/>
      <c r="B40" s="44"/>
      <c r="C40" s="35"/>
      <c r="D40" s="1"/>
      <c r="E40" s="1"/>
      <c r="F40" s="70" t="s">
        <v>27</v>
      </c>
      <c r="G40" s="71"/>
      <c r="H40" s="74" t="s">
        <v>28</v>
      </c>
      <c r="I40" s="67"/>
      <c r="J40" s="67"/>
      <c r="K40" s="68"/>
      <c r="L40" s="74" t="s">
        <v>29</v>
      </c>
      <c r="M40" s="67"/>
      <c r="N40" s="67"/>
      <c r="O40" s="68"/>
      <c r="P40" s="74" t="s">
        <v>30</v>
      </c>
      <c r="Q40" s="67"/>
      <c r="R40" s="6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4.4">
      <c r="A41" s="1"/>
      <c r="B41" s="45"/>
      <c r="C41" s="26"/>
      <c r="D41" s="1"/>
      <c r="E41" s="1"/>
      <c r="F41" s="72"/>
      <c r="G41" s="73"/>
      <c r="H41" s="66"/>
      <c r="I41" s="67"/>
      <c r="J41" s="67"/>
      <c r="K41" s="68"/>
      <c r="L41" s="66"/>
      <c r="M41" s="67"/>
      <c r="N41" s="67"/>
      <c r="O41" s="68"/>
      <c r="P41" s="75"/>
      <c r="Q41" s="67"/>
      <c r="R41" s="6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4.4">
      <c r="A42" s="1"/>
      <c r="B42" s="45"/>
      <c r="C42" s="26"/>
      <c r="D42" s="1"/>
      <c r="E42" s="1"/>
      <c r="F42" s="76" t="s">
        <v>31</v>
      </c>
      <c r="G42" s="71"/>
      <c r="H42" s="69" t="s">
        <v>28</v>
      </c>
      <c r="I42" s="67"/>
      <c r="J42" s="67"/>
      <c r="K42" s="68"/>
      <c r="L42" s="69" t="s">
        <v>29</v>
      </c>
      <c r="M42" s="67"/>
      <c r="N42" s="67"/>
      <c r="O42" s="68"/>
      <c r="P42" s="69" t="s">
        <v>30</v>
      </c>
      <c r="Q42" s="67"/>
      <c r="R42" s="6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4.4">
      <c r="A43" s="1"/>
      <c r="B43" s="45"/>
      <c r="C43" s="26"/>
      <c r="D43" s="1"/>
      <c r="E43" s="1"/>
      <c r="F43" s="72"/>
      <c r="G43" s="73"/>
      <c r="H43" s="66"/>
      <c r="I43" s="67"/>
      <c r="J43" s="67"/>
      <c r="K43" s="68"/>
      <c r="L43" s="66"/>
      <c r="M43" s="67"/>
      <c r="N43" s="67"/>
      <c r="O43" s="68"/>
      <c r="P43" s="75"/>
      <c r="Q43" s="67"/>
      <c r="R43" s="6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4.4">
      <c r="A44" s="1"/>
      <c r="B44" s="45"/>
      <c r="C44" s="2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4.4">
      <c r="A45" s="1"/>
      <c r="B45" s="45"/>
      <c r="C45" s="2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4.4">
      <c r="A46" s="1"/>
      <c r="B46" s="45"/>
      <c r="C46" s="2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4.4">
      <c r="A47" s="1"/>
      <c r="B47" s="45"/>
      <c r="C47" s="2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4.4">
      <c r="A48" s="1"/>
      <c r="B48" s="45"/>
      <c r="C48" s="2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4.4">
      <c r="A49" s="1"/>
      <c r="B49" s="45"/>
      <c r="C49" s="2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4.4">
      <c r="A50" s="1"/>
      <c r="B50" s="45"/>
      <c r="C50" s="2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4.4">
      <c r="A51" s="1"/>
      <c r="B51" s="45"/>
      <c r="C51" s="2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4.4">
      <c r="A52" s="1"/>
      <c r="B52" s="45"/>
      <c r="C52" s="2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4.4">
      <c r="A53" s="1"/>
      <c r="B53" s="45"/>
      <c r="C53" s="2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4.4">
      <c r="A54" s="1"/>
      <c r="B54" s="45"/>
      <c r="C54" s="2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4.4">
      <c r="A55" s="1"/>
      <c r="B55" s="45"/>
      <c r="C55" s="2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4.4">
      <c r="A56" s="1"/>
      <c r="B56" s="35"/>
      <c r="C56" s="46">
        <f>SUM(C41:C55)</f>
        <v>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4.4">
      <c r="A59" s="1"/>
      <c r="B59" s="69" t="s">
        <v>32</v>
      </c>
      <c r="C59" s="6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20.399999999999999">
      <c r="A60" s="1"/>
      <c r="B60" s="47" t="s">
        <v>33</v>
      </c>
      <c r="C60" s="48">
        <f>AK29</f>
        <v>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20.399999999999999">
      <c r="A61" s="1"/>
      <c r="B61" s="47" t="str">
        <f t="shared" ref="B61:B63" si="5">E32</f>
        <v>Annual Leave / RnR</v>
      </c>
      <c r="C61" s="48">
        <f t="shared" ref="C61:C63" si="6">AK32</f>
        <v>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20.399999999999999">
      <c r="A62" s="1"/>
      <c r="B62" s="47" t="str">
        <f t="shared" si="5"/>
        <v>Sick Leave</v>
      </c>
      <c r="C62" s="48">
        <f t="shared" si="6"/>
        <v>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40.799999999999997">
      <c r="A63" s="1"/>
      <c r="B63" s="47" t="str">
        <f t="shared" si="5"/>
        <v>National Holidays (Public Holidays)</v>
      </c>
      <c r="C63" s="48">
        <f t="shared" si="6"/>
        <v>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4.4">
      <c r="A64" s="1"/>
      <c r="B64" s="49" t="s">
        <v>34</v>
      </c>
      <c r="C64" s="46">
        <f>SUM(C60:C63)</f>
        <v>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4.4">
      <c r="A66" s="14"/>
      <c r="B66" s="1"/>
      <c r="C66" s="1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ht="20.399999999999999">
      <c r="A67" s="14"/>
      <c r="B67" s="47" t="str">
        <f>E35</f>
        <v>Leave without Pay (LWOP)</v>
      </c>
      <c r="C67" s="48">
        <f>AK35</f>
        <v>0</v>
      </c>
      <c r="D67" s="1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4.4">
      <c r="A68" s="14"/>
      <c r="B68" s="1"/>
      <c r="C68" s="1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ht="14.4">
      <c r="A69" s="14"/>
      <c r="B69" s="1"/>
      <c r="C69" s="1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spans="1:38" ht="14.4">
      <c r="A70" s="14"/>
      <c r="B70" s="1"/>
      <c r="C70" s="1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8" ht="14.4">
      <c r="A71" s="14"/>
      <c r="B71" s="1"/>
      <c r="C71" s="1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 ht="14.4">
      <c r="A72" s="14"/>
      <c r="B72" s="1"/>
      <c r="C72" s="1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ht="14.4">
      <c r="A73" s="14"/>
      <c r="B73" s="1"/>
      <c r="C73" s="1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ht="14.4">
      <c r="A74" s="14"/>
      <c r="B74" s="1"/>
      <c r="C74" s="1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ht="14.4">
      <c r="A75" s="14"/>
      <c r="B75" s="1"/>
      <c r="C75" s="1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ht="14.4">
      <c r="A76" s="14"/>
      <c r="B76" s="1"/>
      <c r="C76" s="1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ht="14.4">
      <c r="A77" s="14"/>
      <c r="B77" s="1"/>
      <c r="C77" s="1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spans="1:38" ht="14.4">
      <c r="A78" s="14"/>
      <c r="B78" s="1"/>
      <c r="C78" s="1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ht="14.4">
      <c r="A79" s="14"/>
      <c r="B79" s="1"/>
      <c r="C79" s="1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 ht="14.4">
      <c r="A80" s="14"/>
      <c r="B80" s="1"/>
      <c r="C80" s="1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 ht="14.4">
      <c r="A81" s="14"/>
      <c r="B81" s="1"/>
      <c r="C81" s="1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spans="1:38" ht="14.4">
      <c r="A82" s="14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 ht="14.4">
      <c r="A83" s="14"/>
      <c r="B83" s="1"/>
      <c r="C83" s="1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spans="1:38" ht="14.4">
      <c r="A84" s="14"/>
      <c r="B84" s="1"/>
      <c r="C84" s="1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spans="1:38" ht="14.4">
      <c r="A85" s="14"/>
      <c r="B85" s="1"/>
      <c r="C85" s="1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spans="1:38" ht="14.4">
      <c r="A86" s="14"/>
      <c r="B86" s="1"/>
      <c r="C86" s="1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spans="1:38" ht="14.4">
      <c r="A87" s="14"/>
      <c r="B87" s="1"/>
      <c r="C87" s="1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spans="1:38" ht="14.4">
      <c r="A88" s="14"/>
      <c r="B88" s="1"/>
      <c r="C88" s="1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spans="1:38" ht="14.4">
      <c r="A89" s="14"/>
      <c r="B89" s="1"/>
      <c r="C89" s="1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spans="1:38" ht="14.4">
      <c r="A90" s="14"/>
      <c r="B90" s="1"/>
      <c r="C90" s="1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spans="1:38" ht="14.4">
      <c r="A91" s="14"/>
      <c r="B91" s="1"/>
      <c r="C91" s="1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spans="1:38" ht="14.4">
      <c r="A92" s="14"/>
      <c r="B92" s="1"/>
      <c r="C92" s="1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38" ht="14.4">
      <c r="A93" s="14"/>
      <c r="B93" s="1"/>
      <c r="C93" s="1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spans="1:38" ht="14.4">
      <c r="A94" s="14"/>
      <c r="B94" s="1"/>
      <c r="C94" s="1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spans="1:38" ht="14.4">
      <c r="A95" s="14"/>
      <c r="B95" s="1"/>
      <c r="C95" s="1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spans="1:38" ht="14.4">
      <c r="A96" s="14"/>
      <c r="B96" s="1"/>
      <c r="C96" s="1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spans="1:38" ht="14.4">
      <c r="A97" s="14"/>
      <c r="B97" s="1"/>
      <c r="C97" s="1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spans="1:38" ht="14.4">
      <c r="A98" s="14"/>
      <c r="B98" s="1"/>
      <c r="C98" s="1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spans="1:38" ht="14.4">
      <c r="A99" s="14"/>
      <c r="B99" s="1"/>
      <c r="C99" s="1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spans="1:38" ht="14.4">
      <c r="A100" s="14"/>
      <c r="B100" s="1"/>
      <c r="C100" s="1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1:38" ht="14.4">
      <c r="A101" s="14"/>
      <c r="B101" s="1"/>
      <c r="C101" s="1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spans="1:38" ht="14.4">
      <c r="A102" s="14"/>
      <c r="B102" s="1"/>
      <c r="C102" s="1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spans="1:38" ht="14.4">
      <c r="A103" s="14"/>
      <c r="B103" s="1"/>
      <c r="C103" s="1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spans="1:38" ht="14.4">
      <c r="A104" s="14"/>
      <c r="B104" s="1"/>
      <c r="C104" s="1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spans="1:38" ht="14.4">
      <c r="A105" s="14"/>
      <c r="B105" s="1"/>
      <c r="C105" s="1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1:38" ht="14.4">
      <c r="A106" s="14"/>
      <c r="B106" s="1"/>
      <c r="C106" s="1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spans="1:38" ht="14.4">
      <c r="A107" s="14"/>
      <c r="B107" s="1"/>
      <c r="C107" s="1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spans="1:38" ht="14.4">
      <c r="A108" s="14"/>
      <c r="B108" s="1"/>
      <c r="C108" s="1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:38" ht="14.4">
      <c r="A109" s="14"/>
      <c r="B109" s="1"/>
      <c r="C109" s="1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:38" ht="14.4">
      <c r="A110" s="14"/>
      <c r="B110" s="1"/>
      <c r="C110" s="1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1:38" ht="14.4">
      <c r="A111" s="14"/>
      <c r="B111" s="1"/>
      <c r="C111" s="1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spans="1:38" ht="14.4">
      <c r="A112" s="14"/>
      <c r="B112" s="1"/>
      <c r="C112" s="1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1:38" ht="14.4">
      <c r="A113" s="14"/>
      <c r="B113" s="1"/>
      <c r="C113" s="1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1:38" ht="14.4">
      <c r="A114" s="14"/>
      <c r="B114" s="1"/>
      <c r="C114" s="1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spans="1:38" ht="14.4">
      <c r="A115" s="14"/>
      <c r="B115" s="1"/>
      <c r="C115" s="1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spans="1:38" ht="14.4">
      <c r="A116" s="14"/>
      <c r="B116" s="1"/>
      <c r="C116" s="1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1:38" ht="14.4">
      <c r="A117" s="14"/>
      <c r="B117" s="1"/>
      <c r="C117" s="1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spans="1:38" ht="14.4">
      <c r="A118" s="14"/>
      <c r="B118" s="1"/>
      <c r="C118" s="1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spans="1:38" ht="14.4">
      <c r="A119" s="14"/>
      <c r="B119" s="1"/>
      <c r="C119" s="1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spans="1:38" ht="14.4">
      <c r="A120" s="14"/>
      <c r="B120" s="1"/>
      <c r="C120" s="1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1:38" ht="14.4">
      <c r="A121" s="14"/>
      <c r="B121" s="1"/>
      <c r="C121" s="1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spans="1:38" ht="14.4">
      <c r="A122" s="14"/>
      <c r="B122" s="1"/>
      <c r="C122" s="1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spans="1:38" ht="14.4">
      <c r="A123" s="14"/>
      <c r="B123" s="1"/>
      <c r="C123" s="1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spans="1:38" ht="14.4">
      <c r="A124" s="14"/>
      <c r="B124" s="1"/>
      <c r="C124" s="1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spans="1:38" ht="14.4">
      <c r="A125" s="14"/>
      <c r="B125" s="1"/>
      <c r="C125" s="1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spans="1:38" ht="14.4">
      <c r="A126" s="14"/>
      <c r="B126" s="1"/>
      <c r="C126" s="1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spans="1:38" ht="14.4">
      <c r="A127" s="14"/>
      <c r="B127" s="1"/>
      <c r="C127" s="1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spans="1:38" ht="14.4">
      <c r="A128" s="14"/>
      <c r="B128" s="1"/>
      <c r="C128" s="1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 ht="14.4">
      <c r="A129" s="14"/>
      <c r="B129" s="1"/>
      <c r="C129" s="1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spans="1:38" ht="14.4">
      <c r="A130" s="14"/>
      <c r="B130" s="1"/>
      <c r="C130" s="1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spans="1:38" ht="14.4">
      <c r="A131" s="14"/>
      <c r="B131" s="1"/>
      <c r="C131" s="1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spans="1:38" ht="14.4">
      <c r="A132" s="14"/>
      <c r="B132" s="1"/>
      <c r="C132" s="1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spans="1:38" ht="14.4">
      <c r="A133" s="14"/>
      <c r="B133" s="1"/>
      <c r="C133" s="1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spans="1:38" ht="14.4">
      <c r="A134" s="14"/>
      <c r="B134" s="1"/>
      <c r="C134" s="1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spans="1:38" ht="14.4">
      <c r="A135" s="14"/>
      <c r="B135" s="1"/>
      <c r="C135" s="1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spans="1:38" ht="14.4">
      <c r="A136" s="14"/>
      <c r="B136" s="1"/>
      <c r="C136" s="1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spans="1:38" ht="14.4">
      <c r="A137" s="14"/>
      <c r="B137" s="1"/>
      <c r="C137" s="1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spans="1:38" ht="14.4">
      <c r="A138" s="14"/>
      <c r="B138" s="1"/>
      <c r="C138" s="1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spans="1:38" ht="14.4">
      <c r="A139" s="14"/>
      <c r="B139" s="1"/>
      <c r="C139" s="1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spans="1:38" ht="14.4">
      <c r="A140" s="14"/>
      <c r="B140" s="1"/>
      <c r="C140" s="1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spans="1:38" ht="14.4">
      <c r="A141" s="14"/>
      <c r="B141" s="1"/>
      <c r="C141" s="1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spans="1:38" ht="14.4">
      <c r="A142" s="14"/>
      <c r="B142" s="1"/>
      <c r="C142" s="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spans="1:38" ht="14.4">
      <c r="A143" s="14"/>
      <c r="B143" s="1"/>
      <c r="C143" s="1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38" ht="14.4">
      <c r="A144" s="14"/>
      <c r="B144" s="1"/>
      <c r="C144" s="1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spans="1:38" ht="14.4">
      <c r="A145" s="14"/>
      <c r="B145" s="1"/>
      <c r="C145" s="1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spans="1:38" ht="14.4">
      <c r="A146" s="14"/>
      <c r="B146" s="1"/>
      <c r="C146" s="1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spans="1:38" ht="14.4">
      <c r="A147" s="14"/>
      <c r="B147" s="1"/>
      <c r="C147" s="1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 ht="14.4">
      <c r="A148" s="14"/>
      <c r="B148" s="1"/>
      <c r="C148" s="1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spans="1:38" ht="14.4">
      <c r="A149" s="14"/>
      <c r="B149" s="1"/>
      <c r="C149" s="1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spans="1:38" ht="14.4">
      <c r="A150" s="14"/>
      <c r="B150" s="1"/>
      <c r="C150" s="1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spans="1:38" ht="14.4">
      <c r="A151" s="14"/>
      <c r="B151" s="1"/>
      <c r="C151" s="1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spans="1:38" ht="14.4">
      <c r="A152" s="14"/>
      <c r="B152" s="1"/>
      <c r="C152" s="1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spans="1:38" ht="14.4">
      <c r="A153" s="14"/>
      <c r="B153" s="1"/>
      <c r="C153" s="1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spans="1:38" ht="14.4">
      <c r="A154" s="14"/>
      <c r="B154" s="1"/>
      <c r="C154" s="1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spans="1:38" ht="14.4">
      <c r="A155" s="14"/>
      <c r="B155" s="1"/>
      <c r="C155" s="1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spans="1:38" ht="14.4">
      <c r="A156" s="14"/>
      <c r="B156" s="1"/>
      <c r="C156" s="1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spans="1:38" ht="14.4">
      <c r="A157" s="14"/>
      <c r="B157" s="1"/>
      <c r="C157" s="1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spans="1:38" ht="14.4">
      <c r="A158" s="14"/>
      <c r="B158" s="1"/>
      <c r="C158" s="1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spans="1:38" ht="14.4">
      <c r="A159" s="14"/>
      <c r="B159" s="1"/>
      <c r="C159" s="1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spans="1:38" ht="14.4">
      <c r="A160" s="14"/>
      <c r="B160" s="1"/>
      <c r="C160" s="1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spans="1:38" ht="14.4">
      <c r="A161" s="14"/>
      <c r="B161" s="1"/>
      <c r="C161" s="1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spans="1:38" ht="14.4">
      <c r="A162" s="14"/>
      <c r="B162" s="1"/>
      <c r="C162" s="1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spans="1:38" ht="14.4">
      <c r="A163" s="14"/>
      <c r="B163" s="1"/>
      <c r="C163" s="1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spans="1:38" ht="14.4">
      <c r="A164" s="14"/>
      <c r="B164" s="1"/>
      <c r="C164" s="1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spans="1:38" ht="14.4">
      <c r="A165" s="14"/>
      <c r="B165" s="1"/>
      <c r="C165" s="1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spans="1:38" ht="14.4">
      <c r="A166" s="14"/>
      <c r="B166" s="1"/>
      <c r="C166" s="1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spans="1:38" ht="14.4">
      <c r="A167" s="14"/>
      <c r="B167" s="1"/>
      <c r="C167" s="1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spans="1:38" ht="14.4">
      <c r="A168" s="14"/>
      <c r="B168" s="1"/>
      <c r="C168" s="1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spans="1:38" ht="14.4">
      <c r="A169" s="14"/>
      <c r="B169" s="1"/>
      <c r="C169" s="1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spans="1:38" ht="14.4">
      <c r="A170" s="14"/>
      <c r="B170" s="1"/>
      <c r="C170" s="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spans="1:38" ht="14.4">
      <c r="A171" s="14"/>
      <c r="B171" s="1"/>
      <c r="C171" s="1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spans="1:38" ht="14.4">
      <c r="A172" s="14"/>
      <c r="B172" s="1"/>
      <c r="C172" s="1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spans="1:38" ht="14.4">
      <c r="A173" s="14"/>
      <c r="B173" s="1"/>
      <c r="C173" s="1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spans="1:38" ht="14.4">
      <c r="A174" s="14"/>
      <c r="B174" s="1"/>
      <c r="C174" s="1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spans="1:38" ht="14.4">
      <c r="A175" s="14"/>
      <c r="B175" s="1"/>
      <c r="C175" s="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spans="1:38" ht="14.4">
      <c r="A176" s="14"/>
      <c r="B176" s="1"/>
      <c r="C176" s="1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spans="1:38" ht="14.4">
      <c r="A177" s="14"/>
      <c r="B177" s="1"/>
      <c r="C177" s="1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spans="1:38" ht="14.4">
      <c r="A178" s="14"/>
      <c r="B178" s="1"/>
      <c r="C178" s="1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spans="1:38" ht="14.4">
      <c r="A179" s="14"/>
      <c r="B179" s="1"/>
      <c r="C179" s="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spans="1:38" ht="14.4">
      <c r="A180" s="14"/>
      <c r="B180" s="1"/>
      <c r="C180" s="1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spans="1:38" ht="14.4">
      <c r="A181" s="14"/>
      <c r="B181" s="1"/>
      <c r="C181" s="1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spans="1:38" ht="14.4">
      <c r="A182" s="14"/>
      <c r="B182" s="1"/>
      <c r="C182" s="1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spans="1:38" ht="14.4">
      <c r="A183" s="14"/>
      <c r="B183" s="1"/>
      <c r="C183" s="1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8" ht="14.4">
      <c r="A184" s="14"/>
      <c r="B184" s="1"/>
      <c r="C184" s="1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8" ht="14.4">
      <c r="A185" s="14"/>
      <c r="B185" s="1"/>
      <c r="C185" s="1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spans="1:38" ht="14.4">
      <c r="A186" s="14"/>
      <c r="B186" s="1"/>
      <c r="C186" s="1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38" ht="14.4">
      <c r="A187" s="14"/>
      <c r="B187" s="1"/>
      <c r="C187" s="1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spans="1:38" ht="14.4">
      <c r="A188" s="14"/>
      <c r="B188" s="1"/>
      <c r="C188" s="1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spans="1:38" ht="14.4">
      <c r="A189" s="14"/>
      <c r="B189" s="1"/>
      <c r="C189" s="1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spans="1:38" ht="14.4">
      <c r="A190" s="14"/>
      <c r="B190" s="1"/>
      <c r="C190" s="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spans="1:38" ht="14.4">
      <c r="A191" s="14"/>
      <c r="B191" s="1"/>
      <c r="C191" s="1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spans="1:38" ht="14.4">
      <c r="A192" s="14"/>
      <c r="B192" s="1"/>
      <c r="C192" s="1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spans="1:38" ht="14.4">
      <c r="A193" s="14"/>
      <c r="B193" s="1"/>
      <c r="C193" s="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spans="1:38" ht="14.4">
      <c r="A194" s="14"/>
      <c r="B194" s="1"/>
      <c r="C194" s="1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spans="1:38" ht="14.4">
      <c r="A195" s="14"/>
      <c r="B195" s="1"/>
      <c r="C195" s="1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spans="1:38" ht="14.4">
      <c r="A196" s="14"/>
      <c r="B196" s="1"/>
      <c r="C196" s="1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spans="1:38" ht="14.4">
      <c r="A197" s="14"/>
      <c r="B197" s="1"/>
      <c r="C197" s="1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spans="1:38" ht="14.4">
      <c r="A198" s="14"/>
      <c r="B198" s="1"/>
      <c r="C198" s="1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spans="1:38" ht="14.4">
      <c r="A199" s="14"/>
      <c r="B199" s="1"/>
      <c r="C199" s="1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spans="1:38" ht="14.4">
      <c r="A200" s="14"/>
      <c r="B200" s="1"/>
      <c r="C200" s="1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spans="1:38" ht="14.4">
      <c r="A201" s="14"/>
      <c r="B201" s="1"/>
      <c r="C201" s="1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spans="1:38" ht="14.4">
      <c r="A202" s="14"/>
      <c r="B202" s="1"/>
      <c r="C202" s="1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spans="1:38" ht="14.4">
      <c r="A203" s="14"/>
      <c r="B203" s="1"/>
      <c r="C203" s="1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spans="1:38" ht="14.4">
      <c r="A204" s="14"/>
      <c r="B204" s="1"/>
      <c r="C204" s="1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spans="1:38" ht="14.4">
      <c r="A205" s="14"/>
      <c r="B205" s="1"/>
      <c r="C205" s="1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spans="1:38" ht="14.4">
      <c r="A206" s="14"/>
      <c r="B206" s="1"/>
      <c r="C206" s="1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spans="1:38" ht="14.4">
      <c r="A207" s="14"/>
      <c r="B207" s="1"/>
      <c r="C207" s="1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spans="1:38" ht="14.4">
      <c r="A208" s="14"/>
      <c r="B208" s="1"/>
      <c r="C208" s="1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spans="1:38" ht="14.4">
      <c r="A209" s="14"/>
      <c r="B209" s="1"/>
      <c r="C209" s="1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spans="1:38" ht="14.4">
      <c r="A210" s="14"/>
      <c r="B210" s="1"/>
      <c r="C210" s="1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spans="1:38" ht="14.4">
      <c r="A211" s="14"/>
      <c r="B211" s="1"/>
      <c r="C211" s="1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spans="1:38" ht="14.4">
      <c r="A212" s="14"/>
      <c r="B212" s="1"/>
      <c r="C212" s="1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spans="1:38" ht="14.4">
      <c r="A213" s="14"/>
      <c r="B213" s="1"/>
      <c r="C213" s="1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spans="1:38" ht="14.4">
      <c r="A214" s="14"/>
      <c r="B214" s="1"/>
      <c r="C214" s="1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spans="1:38" ht="14.4">
      <c r="A215" s="14"/>
      <c r="B215" s="1"/>
      <c r="C215" s="1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spans="1:38" ht="14.4">
      <c r="A216" s="14"/>
      <c r="B216" s="1"/>
      <c r="C216" s="1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spans="1:38" ht="14.4">
      <c r="A217" s="14"/>
      <c r="B217" s="1"/>
      <c r="C217" s="1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spans="1:38" ht="14.4">
      <c r="A218" s="14"/>
      <c r="B218" s="1"/>
      <c r="C218" s="1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spans="1:38" ht="14.4">
      <c r="A219" s="14"/>
      <c r="B219" s="1"/>
      <c r="C219" s="1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spans="1:38" ht="14.4">
      <c r="A220" s="14"/>
      <c r="B220" s="1"/>
      <c r="C220" s="1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spans="1:38" ht="14.4">
      <c r="A221" s="14"/>
      <c r="B221" s="1"/>
      <c r="C221" s="1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 spans="1:38" ht="14.4">
      <c r="A222" s="14"/>
      <c r="B222" s="1"/>
      <c r="C222" s="1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</row>
    <row r="223" spans="1:38" ht="14.4">
      <c r="A223" s="14"/>
      <c r="B223" s="1"/>
      <c r="C223" s="1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</row>
    <row r="224" spans="1:38" ht="14.4">
      <c r="A224" s="14"/>
      <c r="B224" s="1"/>
      <c r="C224" s="1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 spans="1:38" ht="14.4">
      <c r="A225" s="14"/>
      <c r="B225" s="1"/>
      <c r="C225" s="1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 spans="1:38" ht="14.4">
      <c r="A226" s="14"/>
      <c r="B226" s="1"/>
      <c r="C226" s="1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</row>
    <row r="227" spans="1:38" ht="14.4">
      <c r="A227" s="14"/>
      <c r="B227" s="1"/>
      <c r="C227" s="1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</row>
    <row r="228" spans="1:38" ht="14.4">
      <c r="A228" s="14"/>
      <c r="B228" s="1"/>
      <c r="C228" s="1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 spans="1:38" ht="14.4">
      <c r="A229" s="14"/>
      <c r="B229" s="1"/>
      <c r="C229" s="1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 spans="1:38" ht="14.4">
      <c r="A230" s="14"/>
      <c r="B230" s="1"/>
      <c r="C230" s="1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 spans="1:38" ht="14.4">
      <c r="A231" s="14"/>
      <c r="B231" s="1"/>
      <c r="C231" s="1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</row>
    <row r="232" spans="1:38" ht="14.4">
      <c r="A232" s="14"/>
      <c r="B232" s="1"/>
      <c r="C232" s="1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</row>
    <row r="233" spans="1:38" ht="14.4">
      <c r="A233" s="14"/>
      <c r="B233" s="1"/>
      <c r="C233" s="1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 spans="1:38" ht="14.4">
      <c r="A234" s="14"/>
      <c r="B234" s="1"/>
      <c r="C234" s="1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</row>
    <row r="235" spans="1:38" ht="14.4">
      <c r="A235" s="14"/>
      <c r="B235" s="1"/>
      <c r="C235" s="1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 spans="1:38" ht="14.4">
      <c r="A236" s="14"/>
      <c r="B236" s="1"/>
      <c r="C236" s="1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</row>
    <row r="237" spans="1:38" ht="14.4">
      <c r="A237" s="14"/>
      <c r="B237" s="1"/>
      <c r="C237" s="1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</row>
    <row r="238" spans="1:38" ht="14.4">
      <c r="A238" s="14"/>
      <c r="B238" s="1"/>
      <c r="C238" s="1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 spans="1:38" ht="14.4">
      <c r="A239" s="14"/>
      <c r="B239" s="1"/>
      <c r="C239" s="1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 spans="1:38" ht="14.4">
      <c r="A240" s="14"/>
      <c r="B240" s="1"/>
      <c r="C240" s="1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 spans="1:38" ht="14.4">
      <c r="A241" s="14"/>
      <c r="B241" s="1"/>
      <c r="C241" s="1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</row>
    <row r="242" spans="1:38" ht="14.4">
      <c r="A242" s="14"/>
      <c r="B242" s="1"/>
      <c r="C242" s="1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 spans="1:38" ht="14.4">
      <c r="A243" s="14"/>
      <c r="B243" s="1"/>
      <c r="C243" s="1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 spans="1:38" ht="14.4">
      <c r="A244" s="14"/>
      <c r="B244" s="1"/>
      <c r="C244" s="1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</row>
    <row r="245" spans="1:38" ht="14.4">
      <c r="A245" s="14"/>
      <c r="B245" s="1"/>
      <c r="C245" s="1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</row>
    <row r="246" spans="1:38" ht="14.4">
      <c r="A246" s="14"/>
      <c r="B246" s="1"/>
      <c r="C246" s="1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 spans="1:38" ht="14.4">
      <c r="A247" s="14"/>
      <c r="B247" s="1"/>
      <c r="C247" s="1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 spans="1:38" ht="14.4">
      <c r="A248" s="14"/>
      <c r="B248" s="1"/>
      <c r="C248" s="1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</row>
    <row r="249" spans="1:38" ht="14.4">
      <c r="A249" s="14"/>
      <c r="B249" s="1"/>
      <c r="C249" s="1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 spans="1:38" ht="14.4">
      <c r="A250" s="14"/>
      <c r="B250" s="1"/>
      <c r="C250" s="1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 spans="1:38" ht="14.4">
      <c r="A251" s="14"/>
      <c r="B251" s="1"/>
      <c r="C251" s="1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 spans="1:38" ht="14.4">
      <c r="A252" s="14"/>
      <c r="B252" s="1"/>
      <c r="C252" s="1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 spans="1:38" ht="14.4">
      <c r="A253" s="14"/>
      <c r="B253" s="1"/>
      <c r="C253" s="1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</row>
    <row r="254" spans="1:38" ht="14.4">
      <c r="A254" s="14"/>
      <c r="B254" s="1"/>
      <c r="C254" s="1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 spans="1:38" ht="14.4">
      <c r="A255" s="14"/>
      <c r="B255" s="1"/>
      <c r="C255" s="1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 spans="1:38" ht="14.4">
      <c r="A256" s="14"/>
      <c r="B256" s="1"/>
      <c r="C256" s="1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 spans="1:38" ht="14.4">
      <c r="A257" s="14"/>
      <c r="B257" s="1"/>
      <c r="C257" s="1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</row>
    <row r="258" spans="1:38" ht="14.4">
      <c r="A258" s="14"/>
      <c r="B258" s="1"/>
      <c r="C258" s="1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spans="1:38" ht="14.4">
      <c r="A259" s="14"/>
      <c r="B259" s="1"/>
      <c r="C259" s="1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 spans="1:38" ht="14.4">
      <c r="A260" s="14"/>
      <c r="B260" s="1"/>
      <c r="C260" s="1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 spans="1:38" ht="14.4">
      <c r="A261" s="14"/>
      <c r="B261" s="1"/>
      <c r="C261" s="1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spans="1:38" ht="14.4">
      <c r="A262" s="14"/>
      <c r="B262" s="1"/>
      <c r="C262" s="1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 spans="1:38" ht="14.4">
      <c r="A263" s="14"/>
      <c r="B263" s="1"/>
      <c r="C263" s="1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 spans="1:38" ht="14.4">
      <c r="A264" s="14"/>
      <c r="B264" s="1"/>
      <c r="C264" s="1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 spans="1:38" ht="14.4">
      <c r="A265" s="14"/>
      <c r="B265" s="1"/>
      <c r="C265" s="1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 spans="1:38" ht="14.4">
      <c r="A266" s="14"/>
      <c r="B266" s="1"/>
      <c r="C266" s="1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 spans="1:38" ht="14.4">
      <c r="A267" s="14"/>
      <c r="B267" s="1"/>
      <c r="C267" s="1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 spans="1:38" ht="14.4">
      <c r="A268" s="14"/>
      <c r="B268" s="1"/>
      <c r="C268" s="1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</row>
    <row r="269" spans="1:38" ht="14.4">
      <c r="A269" s="14"/>
      <c r="B269" s="1"/>
      <c r="C269" s="1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spans="1:38" ht="14.4">
      <c r="A270" s="14"/>
      <c r="B270" s="1"/>
      <c r="C270" s="1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 spans="1:38" ht="14.4">
      <c r="A271" s="14"/>
      <c r="B271" s="1"/>
      <c r="C271" s="1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 spans="1:38" ht="14.4">
      <c r="A272" s="14"/>
      <c r="B272" s="1"/>
      <c r="C272" s="1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 spans="1:38" ht="14.4">
      <c r="A273" s="14"/>
      <c r="B273" s="1"/>
      <c r="C273" s="1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</row>
    <row r="274" spans="1:38" ht="14.4">
      <c r="A274" s="14"/>
      <c r="B274" s="1"/>
      <c r="C274" s="1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 spans="1:38" ht="14.4">
      <c r="A275" s="14"/>
      <c r="B275" s="1"/>
      <c r="C275" s="1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 spans="1:38" ht="14.4">
      <c r="A276" s="14"/>
      <c r="B276" s="1"/>
      <c r="C276" s="1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</row>
    <row r="277" spans="1:38" ht="14.4">
      <c r="A277" s="14"/>
      <c r="B277" s="1"/>
      <c r="C277" s="1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</row>
    <row r="278" spans="1:38" ht="14.4">
      <c r="A278" s="14"/>
      <c r="B278" s="1"/>
      <c r="C278" s="1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</row>
    <row r="279" spans="1:38" ht="14.4">
      <c r="A279" s="14"/>
      <c r="B279" s="1"/>
      <c r="C279" s="1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</row>
    <row r="280" spans="1:38" ht="14.4">
      <c r="A280" s="14"/>
      <c r="B280" s="1"/>
      <c r="C280" s="1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</row>
    <row r="281" spans="1:38" ht="14.4">
      <c r="A281" s="14"/>
      <c r="B281" s="1"/>
      <c r="C281" s="1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</row>
    <row r="282" spans="1:38" ht="14.4">
      <c r="A282" s="14"/>
      <c r="B282" s="1"/>
      <c r="C282" s="1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</row>
    <row r="283" spans="1:38" ht="14.4">
      <c r="A283" s="14"/>
      <c r="B283" s="1"/>
      <c r="C283" s="1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</row>
    <row r="284" spans="1:38" ht="14.4">
      <c r="A284" s="14"/>
      <c r="B284" s="1"/>
      <c r="C284" s="1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</row>
    <row r="285" spans="1:38" ht="14.4">
      <c r="A285" s="14"/>
      <c r="B285" s="1"/>
      <c r="C285" s="1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</row>
    <row r="286" spans="1:38" ht="14.4">
      <c r="A286" s="14"/>
      <c r="B286" s="1"/>
      <c r="C286" s="1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</row>
    <row r="287" spans="1:38" ht="14.4">
      <c r="A287" s="14"/>
      <c r="B287" s="1"/>
      <c r="C287" s="1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</row>
    <row r="288" spans="1:38" ht="14.4">
      <c r="A288" s="14"/>
      <c r="B288" s="1"/>
      <c r="C288" s="1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</row>
    <row r="289" spans="1:38" ht="14.4">
      <c r="A289" s="14"/>
      <c r="B289" s="1"/>
      <c r="C289" s="1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</row>
    <row r="290" spans="1:38" ht="14.4">
      <c r="A290" s="14"/>
      <c r="B290" s="1"/>
      <c r="C290" s="1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</row>
    <row r="291" spans="1:38" ht="14.4">
      <c r="A291" s="14"/>
      <c r="B291" s="1"/>
      <c r="C291" s="1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</row>
    <row r="292" spans="1:38" ht="14.4">
      <c r="A292" s="14"/>
      <c r="B292" s="1"/>
      <c r="C292" s="1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</row>
    <row r="293" spans="1:38" ht="14.4">
      <c r="A293" s="14"/>
      <c r="B293" s="1"/>
      <c r="C293" s="1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</row>
    <row r="294" spans="1:38" ht="14.4">
      <c r="A294" s="14"/>
      <c r="B294" s="1"/>
      <c r="C294" s="1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</row>
    <row r="295" spans="1:38" ht="14.4">
      <c r="A295" s="14"/>
      <c r="B295" s="1"/>
      <c r="C295" s="1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</row>
    <row r="296" spans="1:38" ht="14.4">
      <c r="A296" s="14"/>
      <c r="B296" s="1"/>
      <c r="C296" s="1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</row>
    <row r="297" spans="1:38" ht="14.4">
      <c r="A297" s="14"/>
      <c r="B297" s="1"/>
      <c r="C297" s="1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</row>
    <row r="298" spans="1:38" ht="14.4">
      <c r="A298" s="14"/>
      <c r="B298" s="1"/>
      <c r="C298" s="1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</row>
    <row r="299" spans="1:38" ht="14.4">
      <c r="A299" s="14"/>
      <c r="B299" s="1"/>
      <c r="C299" s="1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</row>
    <row r="300" spans="1:38" ht="14.4">
      <c r="A300" s="14"/>
      <c r="B300" s="1"/>
      <c r="C300" s="1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</row>
    <row r="301" spans="1:38" ht="14.4">
      <c r="A301" s="14"/>
      <c r="B301" s="1"/>
      <c r="C301" s="1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</row>
    <row r="302" spans="1:38" ht="14.4">
      <c r="A302" s="14"/>
      <c r="B302" s="1"/>
      <c r="C302" s="1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</row>
    <row r="303" spans="1:38" ht="14.4">
      <c r="A303" s="14"/>
      <c r="B303" s="1"/>
      <c r="C303" s="1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</row>
    <row r="304" spans="1:38" ht="14.4">
      <c r="A304" s="14"/>
      <c r="B304" s="1"/>
      <c r="C304" s="1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</row>
    <row r="305" spans="1:38" ht="14.4">
      <c r="A305" s="14"/>
      <c r="B305" s="1"/>
      <c r="C305" s="1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</row>
    <row r="306" spans="1:38" ht="14.4">
      <c r="A306" s="14"/>
      <c r="B306" s="1"/>
      <c r="C306" s="1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</row>
    <row r="307" spans="1:38" ht="14.4">
      <c r="A307" s="14"/>
      <c r="B307" s="1"/>
      <c r="C307" s="1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</row>
    <row r="308" spans="1:38" ht="14.4">
      <c r="A308" s="14"/>
      <c r="B308" s="1"/>
      <c r="C308" s="1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</row>
    <row r="309" spans="1:38" ht="14.4">
      <c r="A309" s="14"/>
      <c r="B309" s="1"/>
      <c r="C309" s="1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</row>
    <row r="310" spans="1:38" ht="14.4">
      <c r="A310" s="14"/>
      <c r="B310" s="1"/>
      <c r="C310" s="1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</row>
    <row r="311" spans="1:38" ht="14.4">
      <c r="A311" s="14"/>
      <c r="B311" s="1"/>
      <c r="C311" s="1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</row>
    <row r="312" spans="1:38" ht="14.4">
      <c r="A312" s="14"/>
      <c r="B312" s="1"/>
      <c r="C312" s="1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</row>
    <row r="313" spans="1:38" ht="14.4">
      <c r="A313" s="14"/>
      <c r="B313" s="1"/>
      <c r="C313" s="1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 spans="1:38" ht="14.4">
      <c r="A314" s="14"/>
      <c r="B314" s="1"/>
      <c r="C314" s="1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</row>
    <row r="315" spans="1:38" ht="14.4">
      <c r="A315" s="14"/>
      <c r="B315" s="1"/>
      <c r="C315" s="1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</row>
    <row r="316" spans="1:38" ht="14.4">
      <c r="A316" s="14"/>
      <c r="B316" s="1"/>
      <c r="C316" s="1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</row>
    <row r="317" spans="1:38" ht="14.4">
      <c r="A317" s="14"/>
      <c r="B317" s="1"/>
      <c r="C317" s="1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</row>
    <row r="318" spans="1:38" ht="14.4">
      <c r="A318" s="14"/>
      <c r="B318" s="1"/>
      <c r="C318" s="1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</row>
    <row r="319" spans="1:38" ht="14.4">
      <c r="A319" s="14"/>
      <c r="B319" s="1"/>
      <c r="C319" s="1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</row>
    <row r="320" spans="1:38" ht="14.4">
      <c r="A320" s="14"/>
      <c r="B320" s="1"/>
      <c r="C320" s="1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</row>
    <row r="321" spans="1:38" ht="14.4">
      <c r="A321" s="14"/>
      <c r="B321" s="1"/>
      <c r="C321" s="1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</row>
    <row r="322" spans="1:38" ht="14.4">
      <c r="A322" s="14"/>
      <c r="B322" s="1"/>
      <c r="C322" s="1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</row>
    <row r="323" spans="1:38" ht="14.4">
      <c r="A323" s="14"/>
      <c r="B323" s="1"/>
      <c r="C323" s="1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 spans="1:38" ht="14.4">
      <c r="A324" s="14"/>
      <c r="B324" s="1"/>
      <c r="C324" s="1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</row>
    <row r="325" spans="1:38" ht="14.4">
      <c r="A325" s="14"/>
      <c r="B325" s="1"/>
      <c r="C325" s="1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</row>
    <row r="326" spans="1:38" ht="14.4">
      <c r="A326" s="14"/>
      <c r="B326" s="1"/>
      <c r="C326" s="1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</row>
    <row r="327" spans="1:38" ht="14.4">
      <c r="A327" s="14"/>
      <c r="B327" s="1"/>
      <c r="C327" s="1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</row>
    <row r="328" spans="1:38" ht="14.4">
      <c r="A328" s="14"/>
      <c r="B328" s="1"/>
      <c r="C328" s="1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</row>
    <row r="329" spans="1:38" ht="14.4">
      <c r="A329" s="14"/>
      <c r="B329" s="1"/>
      <c r="C329" s="1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</row>
    <row r="330" spans="1:38" ht="14.4">
      <c r="A330" s="14"/>
      <c r="B330" s="1"/>
      <c r="C330" s="1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</row>
    <row r="331" spans="1:38" ht="14.4">
      <c r="A331" s="14"/>
      <c r="B331" s="1"/>
      <c r="C331" s="1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</row>
    <row r="332" spans="1:38" ht="14.4">
      <c r="A332" s="14"/>
      <c r="B332" s="1"/>
      <c r="C332" s="1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</row>
    <row r="333" spans="1:38" ht="14.4">
      <c r="A333" s="14"/>
      <c r="B333" s="1"/>
      <c r="C333" s="1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</row>
    <row r="334" spans="1:38" ht="14.4">
      <c r="A334" s="14"/>
      <c r="B334" s="1"/>
      <c r="C334" s="1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</row>
    <row r="335" spans="1:38" ht="14.4">
      <c r="A335" s="14"/>
      <c r="B335" s="1"/>
      <c r="C335" s="1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</row>
    <row r="336" spans="1:38" ht="14.4">
      <c r="A336" s="14"/>
      <c r="B336" s="1"/>
      <c r="C336" s="1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</row>
    <row r="337" spans="1:38" ht="14.4">
      <c r="A337" s="14"/>
      <c r="B337" s="1"/>
      <c r="C337" s="1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</row>
    <row r="338" spans="1:38" ht="14.4">
      <c r="A338" s="14"/>
      <c r="B338" s="1"/>
      <c r="C338" s="1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</row>
    <row r="339" spans="1:38" ht="14.4">
      <c r="A339" s="14"/>
      <c r="B339" s="1"/>
      <c r="C339" s="1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</row>
    <row r="340" spans="1:38" ht="14.4">
      <c r="A340" s="14"/>
      <c r="B340" s="1"/>
      <c r="C340" s="1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</row>
    <row r="341" spans="1:38" ht="14.4">
      <c r="A341" s="14"/>
      <c r="B341" s="1"/>
      <c r="C341" s="1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</row>
    <row r="342" spans="1:38" ht="14.4">
      <c r="A342" s="14"/>
      <c r="B342" s="1"/>
      <c r="C342" s="1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</row>
    <row r="343" spans="1:38" ht="14.4">
      <c r="A343" s="14"/>
      <c r="B343" s="1"/>
      <c r="C343" s="1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</row>
    <row r="344" spans="1:38" ht="14.4">
      <c r="A344" s="14"/>
      <c r="B344" s="1"/>
      <c r="C344" s="1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</row>
    <row r="345" spans="1:38" ht="14.4">
      <c r="A345" s="14"/>
      <c r="B345" s="1"/>
      <c r="C345" s="1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</row>
    <row r="346" spans="1:38" ht="14.4">
      <c r="A346" s="14"/>
      <c r="B346" s="1"/>
      <c r="C346" s="1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</row>
    <row r="347" spans="1:38" ht="14.4">
      <c r="A347" s="14"/>
      <c r="B347" s="1"/>
      <c r="C347" s="1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</row>
    <row r="348" spans="1:38" ht="14.4">
      <c r="A348" s="14"/>
      <c r="B348" s="1"/>
      <c r="C348" s="1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</row>
    <row r="349" spans="1:38" ht="14.4">
      <c r="A349" s="14"/>
      <c r="B349" s="1"/>
      <c r="C349" s="1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</row>
    <row r="350" spans="1:38" ht="14.4">
      <c r="A350" s="14"/>
      <c r="B350" s="1"/>
      <c r="C350" s="1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</row>
    <row r="351" spans="1:38" ht="14.4">
      <c r="A351" s="14"/>
      <c r="B351" s="1"/>
      <c r="C351" s="1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</row>
    <row r="352" spans="1:38" ht="14.4">
      <c r="A352" s="14"/>
      <c r="B352" s="1"/>
      <c r="C352" s="1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</row>
    <row r="353" spans="1:38" ht="14.4">
      <c r="A353" s="14"/>
      <c r="B353" s="1"/>
      <c r="C353" s="1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</row>
    <row r="354" spans="1:38" ht="14.4">
      <c r="A354" s="14"/>
      <c r="B354" s="1"/>
      <c r="C354" s="1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</row>
    <row r="355" spans="1:38" ht="14.4">
      <c r="A355" s="14"/>
      <c r="B355" s="1"/>
      <c r="C355" s="1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</row>
    <row r="356" spans="1:38" ht="14.4">
      <c r="A356" s="14"/>
      <c r="B356" s="1"/>
      <c r="C356" s="1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</row>
    <row r="357" spans="1:38" ht="14.4">
      <c r="A357" s="14"/>
      <c r="B357" s="1"/>
      <c r="C357" s="1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</row>
    <row r="358" spans="1:38" ht="14.4">
      <c r="A358" s="14"/>
      <c r="B358" s="1"/>
      <c r="C358" s="1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</row>
    <row r="359" spans="1:38" ht="14.4">
      <c r="A359" s="14"/>
      <c r="B359" s="1"/>
      <c r="C359" s="1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</row>
    <row r="360" spans="1:38" ht="14.4">
      <c r="A360" s="14"/>
      <c r="B360" s="1"/>
      <c r="C360" s="1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</row>
    <row r="361" spans="1:38" ht="14.4">
      <c r="A361" s="14"/>
      <c r="B361" s="1"/>
      <c r="C361" s="1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</row>
    <row r="362" spans="1:38" ht="14.4">
      <c r="A362" s="14"/>
      <c r="B362" s="1"/>
      <c r="C362" s="1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</row>
    <row r="363" spans="1:38" ht="14.4">
      <c r="A363" s="14"/>
      <c r="B363" s="1"/>
      <c r="C363" s="1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</row>
    <row r="364" spans="1:38" ht="14.4">
      <c r="A364" s="14"/>
      <c r="B364" s="1"/>
      <c r="C364" s="1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</row>
    <row r="365" spans="1:38" ht="14.4">
      <c r="A365" s="14"/>
      <c r="B365" s="1"/>
      <c r="C365" s="1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</row>
    <row r="366" spans="1:38" ht="14.4">
      <c r="A366" s="14"/>
      <c r="B366" s="1"/>
      <c r="C366" s="1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</row>
    <row r="367" spans="1:38" ht="14.4">
      <c r="A367" s="14"/>
      <c r="B367" s="1"/>
      <c r="C367" s="1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</row>
    <row r="368" spans="1:38" ht="14.4">
      <c r="A368" s="14"/>
      <c r="B368" s="1"/>
      <c r="C368" s="1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</row>
    <row r="369" spans="1:38" ht="14.4">
      <c r="A369" s="14"/>
      <c r="B369" s="1"/>
      <c r="C369" s="1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</row>
    <row r="370" spans="1:38" ht="14.4">
      <c r="A370" s="14"/>
      <c r="B370" s="1"/>
      <c r="C370" s="1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</row>
    <row r="371" spans="1:38" ht="14.4">
      <c r="A371" s="14"/>
      <c r="B371" s="1"/>
      <c r="C371" s="1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</row>
    <row r="372" spans="1:38" ht="14.4">
      <c r="A372" s="14"/>
      <c r="B372" s="1"/>
      <c r="C372" s="1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</row>
    <row r="373" spans="1:38" ht="14.4">
      <c r="A373" s="14"/>
      <c r="B373" s="1"/>
      <c r="C373" s="1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</row>
    <row r="374" spans="1:38" ht="14.4">
      <c r="A374" s="14"/>
      <c r="B374" s="1"/>
      <c r="C374" s="1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</row>
    <row r="375" spans="1:38" ht="14.4">
      <c r="A375" s="14"/>
      <c r="B375" s="1"/>
      <c r="C375" s="1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</row>
    <row r="376" spans="1:38" ht="14.4">
      <c r="A376" s="14"/>
      <c r="B376" s="1"/>
      <c r="C376" s="1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 spans="1:38" ht="14.4">
      <c r="A377" s="14"/>
      <c r="B377" s="1"/>
      <c r="C377" s="1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 spans="1:38" ht="14.4">
      <c r="A378" s="14"/>
      <c r="B378" s="1"/>
      <c r="C378" s="1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</row>
    <row r="379" spans="1:38" ht="14.4">
      <c r="A379" s="14"/>
      <c r="B379" s="1"/>
      <c r="C379" s="1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</row>
    <row r="380" spans="1:38" ht="14.4">
      <c r="A380" s="14"/>
      <c r="B380" s="1"/>
      <c r="C380" s="1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 spans="1:38" ht="14.4">
      <c r="A381" s="14"/>
      <c r="B381" s="1"/>
      <c r="C381" s="1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 spans="1:38" ht="14.4">
      <c r="A382" s="14"/>
      <c r="B382" s="1"/>
      <c r="C382" s="1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</row>
    <row r="383" spans="1:38" ht="14.4">
      <c r="A383" s="14"/>
      <c r="B383" s="1"/>
      <c r="C383" s="1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</row>
    <row r="384" spans="1:38" ht="14.4">
      <c r="A384" s="14"/>
      <c r="B384" s="1"/>
      <c r="C384" s="1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 spans="1:38" ht="14.4">
      <c r="A385" s="14"/>
      <c r="B385" s="1"/>
      <c r="C385" s="1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 spans="1:38" ht="14.4">
      <c r="A386" s="14"/>
      <c r="B386" s="1"/>
      <c r="C386" s="1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</row>
    <row r="387" spans="1:38" ht="14.4">
      <c r="A387" s="14"/>
      <c r="B387" s="1"/>
      <c r="C387" s="1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</row>
    <row r="388" spans="1:38" ht="14.4">
      <c r="A388" s="14"/>
      <c r="B388" s="1"/>
      <c r="C388" s="1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 spans="1:38" ht="14.4">
      <c r="A389" s="14"/>
      <c r="B389" s="1"/>
      <c r="C389" s="1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 spans="1:38" ht="14.4">
      <c r="A390" s="14"/>
      <c r="B390" s="1"/>
      <c r="C390" s="1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</row>
    <row r="391" spans="1:38" ht="14.4">
      <c r="A391" s="14"/>
      <c r="B391" s="1"/>
      <c r="C391" s="1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</row>
    <row r="392" spans="1:38" ht="14.4">
      <c r="A392" s="14"/>
      <c r="B392" s="1"/>
      <c r="C392" s="1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 spans="1:38" ht="14.4">
      <c r="A393" s="14"/>
      <c r="B393" s="1"/>
      <c r="C393" s="1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 spans="1:38" ht="14.4">
      <c r="A394" s="14"/>
      <c r="B394" s="1"/>
      <c r="C394" s="1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</row>
    <row r="395" spans="1:38" ht="14.4">
      <c r="A395" s="14"/>
      <c r="B395" s="1"/>
      <c r="C395" s="1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</row>
    <row r="396" spans="1:38" ht="14.4">
      <c r="A396" s="14"/>
      <c r="B396" s="1"/>
      <c r="C396" s="1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 spans="1:38" ht="14.4">
      <c r="A397" s="14"/>
      <c r="B397" s="1"/>
      <c r="C397" s="1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 spans="1:38" ht="14.4">
      <c r="A398" s="14"/>
      <c r="B398" s="1"/>
      <c r="C398" s="1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</row>
    <row r="399" spans="1:38" ht="14.4">
      <c r="A399" s="14"/>
      <c r="B399" s="1"/>
      <c r="C399" s="1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</row>
    <row r="400" spans="1:38" ht="14.4">
      <c r="A400" s="14"/>
      <c r="B400" s="1"/>
      <c r="C400" s="1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 spans="1:38" ht="14.4">
      <c r="A401" s="14"/>
      <c r="B401" s="1"/>
      <c r="C401" s="1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 spans="1:38" ht="14.4">
      <c r="A402" s="14"/>
      <c r="B402" s="1"/>
      <c r="C402" s="1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</row>
    <row r="403" spans="1:38" ht="14.4">
      <c r="A403" s="14"/>
      <c r="B403" s="1"/>
      <c r="C403" s="1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</row>
    <row r="404" spans="1:38" ht="14.4">
      <c r="A404" s="14"/>
      <c r="B404" s="1"/>
      <c r="C404" s="1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</row>
    <row r="405" spans="1:38" ht="14.4">
      <c r="A405" s="14"/>
      <c r="B405" s="1"/>
      <c r="C405" s="1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</row>
    <row r="406" spans="1:38" ht="14.4">
      <c r="A406" s="14"/>
      <c r="B406" s="1"/>
      <c r="C406" s="1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</row>
    <row r="407" spans="1:38" ht="14.4">
      <c r="A407" s="14"/>
      <c r="B407" s="1"/>
      <c r="C407" s="1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</row>
    <row r="408" spans="1:38" ht="14.4">
      <c r="A408" s="14"/>
      <c r="B408" s="1"/>
      <c r="C408" s="1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</row>
    <row r="409" spans="1:38" ht="14.4">
      <c r="A409" s="14"/>
      <c r="B409" s="1"/>
      <c r="C409" s="1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</row>
    <row r="410" spans="1:38" ht="14.4">
      <c r="A410" s="14"/>
      <c r="B410" s="1"/>
      <c r="C410" s="1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</row>
    <row r="411" spans="1:38" ht="14.4">
      <c r="A411" s="14"/>
      <c r="B411" s="1"/>
      <c r="C411" s="1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</row>
    <row r="412" spans="1:38" ht="14.4">
      <c r="A412" s="14"/>
      <c r="B412" s="1"/>
      <c r="C412" s="1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</row>
    <row r="413" spans="1:38" ht="14.4">
      <c r="A413" s="14"/>
      <c r="B413" s="1"/>
      <c r="C413" s="1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</row>
    <row r="414" spans="1:38" ht="14.4">
      <c r="A414" s="14"/>
      <c r="B414" s="1"/>
      <c r="C414" s="1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</row>
    <row r="415" spans="1:38" ht="14.4">
      <c r="A415" s="14"/>
      <c r="B415" s="1"/>
      <c r="C415" s="1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</row>
    <row r="416" spans="1:38" ht="14.4">
      <c r="A416" s="14"/>
      <c r="B416" s="1"/>
      <c r="C416" s="1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</row>
    <row r="417" spans="1:38" ht="14.4">
      <c r="A417" s="14"/>
      <c r="B417" s="1"/>
      <c r="C417" s="1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</row>
    <row r="418" spans="1:38" ht="14.4">
      <c r="A418" s="14"/>
      <c r="B418" s="1"/>
      <c r="C418" s="1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</row>
    <row r="419" spans="1:38" ht="14.4">
      <c r="A419" s="14"/>
      <c r="B419" s="1"/>
      <c r="C419" s="1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 spans="1:38" ht="14.4">
      <c r="A420" s="14"/>
      <c r="B420" s="1"/>
      <c r="C420" s="1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 spans="1:38" ht="14.4">
      <c r="A421" s="14"/>
      <c r="B421" s="1"/>
      <c r="C421" s="1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 spans="1:38" ht="14.4">
      <c r="A422" s="14"/>
      <c r="B422" s="1"/>
      <c r="C422" s="1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 spans="1:38" ht="14.4">
      <c r="A423" s="14"/>
      <c r="B423" s="1"/>
      <c r="C423" s="1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</row>
    <row r="424" spans="1:38" ht="14.4">
      <c r="A424" s="14"/>
      <c r="B424" s="1"/>
      <c r="C424" s="1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 spans="1:38" ht="14.4">
      <c r="A425" s="14"/>
      <c r="B425" s="1"/>
      <c r="C425" s="1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 spans="1:38" ht="14.4">
      <c r="A426" s="14"/>
      <c r="B426" s="1"/>
      <c r="C426" s="1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</row>
    <row r="427" spans="1:38" ht="14.4">
      <c r="A427" s="14"/>
      <c r="B427" s="1"/>
      <c r="C427" s="1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</row>
    <row r="428" spans="1:38" ht="14.4">
      <c r="A428" s="14"/>
      <c r="B428" s="1"/>
      <c r="C428" s="1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</row>
    <row r="429" spans="1:38" ht="14.4">
      <c r="A429" s="14"/>
      <c r="B429" s="1"/>
      <c r="C429" s="1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</row>
    <row r="430" spans="1:38" ht="14.4">
      <c r="A430" s="14"/>
      <c r="B430" s="1"/>
      <c r="C430" s="1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</row>
    <row r="431" spans="1:38" ht="14.4">
      <c r="A431" s="14"/>
      <c r="B431" s="1"/>
      <c r="C431" s="1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</row>
    <row r="432" spans="1:38" ht="14.4">
      <c r="A432" s="14"/>
      <c r="B432" s="1"/>
      <c r="C432" s="1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</row>
    <row r="433" spans="1:38" ht="14.4">
      <c r="A433" s="14"/>
      <c r="B433" s="1"/>
      <c r="C433" s="1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</row>
    <row r="434" spans="1:38" ht="14.4">
      <c r="A434" s="14"/>
      <c r="B434" s="1"/>
      <c r="C434" s="1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</row>
    <row r="435" spans="1:38" ht="14.4">
      <c r="A435" s="14"/>
      <c r="B435" s="1"/>
      <c r="C435" s="1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</row>
    <row r="436" spans="1:38" ht="14.4">
      <c r="A436" s="14"/>
      <c r="B436" s="1"/>
      <c r="C436" s="1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</row>
    <row r="437" spans="1:38" ht="14.4">
      <c r="A437" s="14"/>
      <c r="B437" s="1"/>
      <c r="C437" s="1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</row>
    <row r="438" spans="1:38" ht="14.4">
      <c r="A438" s="14"/>
      <c r="B438" s="1"/>
      <c r="C438" s="1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</row>
    <row r="439" spans="1:38" ht="14.4">
      <c r="A439" s="14"/>
      <c r="B439" s="1"/>
      <c r="C439" s="1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</row>
    <row r="440" spans="1:38" ht="14.4">
      <c r="A440" s="14"/>
      <c r="B440" s="1"/>
      <c r="C440" s="1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</row>
    <row r="441" spans="1:38" ht="14.4">
      <c r="A441" s="14"/>
      <c r="B441" s="1"/>
      <c r="C441" s="1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</row>
    <row r="442" spans="1:38" ht="14.4">
      <c r="A442" s="14"/>
      <c r="B442" s="1"/>
      <c r="C442" s="1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</row>
    <row r="443" spans="1:38" ht="14.4">
      <c r="A443" s="14"/>
      <c r="B443" s="1"/>
      <c r="C443" s="1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</row>
    <row r="444" spans="1:38" ht="14.4">
      <c r="A444" s="14"/>
      <c r="B444" s="1"/>
      <c r="C444" s="1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</row>
    <row r="445" spans="1:38" ht="14.4">
      <c r="A445" s="14"/>
      <c r="B445" s="1"/>
      <c r="C445" s="1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</row>
    <row r="446" spans="1:38" ht="14.4">
      <c r="A446" s="14"/>
      <c r="B446" s="1"/>
      <c r="C446" s="1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</row>
    <row r="447" spans="1:38" ht="14.4">
      <c r="A447" s="14"/>
      <c r="B447" s="1"/>
      <c r="C447" s="1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</row>
    <row r="448" spans="1:38" ht="14.4">
      <c r="A448" s="14"/>
      <c r="B448" s="1"/>
      <c r="C448" s="1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</row>
    <row r="449" spans="1:38" ht="14.4">
      <c r="A449" s="14"/>
      <c r="B449" s="1"/>
      <c r="C449" s="1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</row>
    <row r="450" spans="1:38" ht="14.4">
      <c r="A450" s="14"/>
      <c r="B450" s="1"/>
      <c r="C450" s="1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</row>
    <row r="451" spans="1:38" ht="14.4">
      <c r="A451" s="14"/>
      <c r="B451" s="1"/>
      <c r="C451" s="1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</row>
    <row r="452" spans="1:38" ht="14.4">
      <c r="A452" s="14"/>
      <c r="B452" s="1"/>
      <c r="C452" s="1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</row>
    <row r="453" spans="1:38" ht="14.4">
      <c r="A453" s="14"/>
      <c r="B453" s="1"/>
      <c r="C453" s="1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</row>
    <row r="454" spans="1:38" ht="14.4">
      <c r="A454" s="14"/>
      <c r="B454" s="1"/>
      <c r="C454" s="1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</row>
    <row r="455" spans="1:38" ht="14.4">
      <c r="A455" s="14"/>
      <c r="B455" s="1"/>
      <c r="C455" s="1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</row>
    <row r="456" spans="1:38" ht="14.4">
      <c r="A456" s="14"/>
      <c r="B456" s="1"/>
      <c r="C456" s="1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</row>
    <row r="457" spans="1:38" ht="14.4">
      <c r="A457" s="14"/>
      <c r="B457" s="1"/>
      <c r="C457" s="1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</row>
    <row r="458" spans="1:38" ht="14.4">
      <c r="A458" s="14"/>
      <c r="B458" s="1"/>
      <c r="C458" s="1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 spans="1:38" ht="14.4">
      <c r="A459" s="14"/>
      <c r="B459" s="1"/>
      <c r="C459" s="1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 spans="1:38" ht="14.4">
      <c r="A460" s="14"/>
      <c r="B460" s="1"/>
      <c r="C460" s="1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</row>
    <row r="461" spans="1:38" ht="14.4">
      <c r="A461" s="14"/>
      <c r="B461" s="1"/>
      <c r="C461" s="1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</row>
    <row r="462" spans="1:38" ht="14.4">
      <c r="A462" s="14"/>
      <c r="B462" s="1"/>
      <c r="C462" s="1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</row>
    <row r="463" spans="1:38" ht="14.4">
      <c r="A463" s="14"/>
      <c r="B463" s="1"/>
      <c r="C463" s="1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</row>
    <row r="464" spans="1:38" ht="14.4">
      <c r="A464" s="14"/>
      <c r="B464" s="1"/>
      <c r="C464" s="1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</row>
    <row r="465" spans="1:38" ht="14.4">
      <c r="A465" s="14"/>
      <c r="B465" s="1"/>
      <c r="C465" s="1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</row>
    <row r="466" spans="1:38" ht="14.4">
      <c r="A466" s="14"/>
      <c r="B466" s="1"/>
      <c r="C466" s="1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 spans="1:38" ht="14.4">
      <c r="A467" s="14"/>
      <c r="B467" s="1"/>
      <c r="C467" s="1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</row>
    <row r="468" spans="1:38" ht="14.4">
      <c r="A468" s="14"/>
      <c r="B468" s="1"/>
      <c r="C468" s="1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</row>
    <row r="469" spans="1:38" ht="14.4">
      <c r="A469" s="14"/>
      <c r="B469" s="1"/>
      <c r="C469" s="1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</row>
    <row r="470" spans="1:38" ht="14.4">
      <c r="A470" s="14"/>
      <c r="B470" s="1"/>
      <c r="C470" s="1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</row>
    <row r="471" spans="1:38" ht="14.4">
      <c r="A471" s="14"/>
      <c r="B471" s="1"/>
      <c r="C471" s="1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</row>
    <row r="472" spans="1:38" ht="14.4">
      <c r="A472" s="14"/>
      <c r="B472" s="1"/>
      <c r="C472" s="1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</row>
    <row r="473" spans="1:38" ht="14.4">
      <c r="A473" s="14"/>
      <c r="B473" s="1"/>
      <c r="C473" s="1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 spans="1:38" ht="14.4">
      <c r="A474" s="14"/>
      <c r="B474" s="1"/>
      <c r="C474" s="1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 spans="1:38" ht="14.4">
      <c r="A475" s="14"/>
      <c r="B475" s="1"/>
      <c r="C475" s="1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 spans="1:38" ht="14.4">
      <c r="A476" s="14"/>
      <c r="B476" s="1"/>
      <c r="C476" s="1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 spans="1:38" ht="14.4">
      <c r="A477" s="14"/>
      <c r="B477" s="1"/>
      <c r="C477" s="1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 spans="1:38" ht="14.4">
      <c r="A478" s="14"/>
      <c r="B478" s="1"/>
      <c r="C478" s="1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 spans="1:38" ht="14.4">
      <c r="A479" s="14"/>
      <c r="B479" s="1"/>
      <c r="C479" s="1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</row>
    <row r="480" spans="1:38" ht="14.4">
      <c r="A480" s="14"/>
      <c r="B480" s="1"/>
      <c r="C480" s="1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</row>
    <row r="481" spans="1:38" ht="14.4">
      <c r="A481" s="14"/>
      <c r="B481" s="1"/>
      <c r="C481" s="1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</row>
    <row r="482" spans="1:38" ht="14.4">
      <c r="A482" s="14"/>
      <c r="B482" s="1"/>
      <c r="C482" s="1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</row>
    <row r="483" spans="1:38" ht="14.4">
      <c r="A483" s="14"/>
      <c r="B483" s="1"/>
      <c r="C483" s="1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</row>
    <row r="484" spans="1:38" ht="14.4">
      <c r="A484" s="14"/>
      <c r="B484" s="1"/>
      <c r="C484" s="1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</row>
    <row r="485" spans="1:38" ht="14.4">
      <c r="A485" s="14"/>
      <c r="B485" s="1"/>
      <c r="C485" s="1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</row>
    <row r="486" spans="1:38" ht="14.4">
      <c r="A486" s="14"/>
      <c r="B486" s="1"/>
      <c r="C486" s="1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</row>
    <row r="487" spans="1:38" ht="14.4">
      <c r="A487" s="14"/>
      <c r="B487" s="1"/>
      <c r="C487" s="1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</row>
    <row r="488" spans="1:38" ht="14.4">
      <c r="A488" s="14"/>
      <c r="B488" s="1"/>
      <c r="C488" s="1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</row>
    <row r="489" spans="1:38" ht="14.4">
      <c r="A489" s="14"/>
      <c r="B489" s="1"/>
      <c r="C489" s="1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</row>
    <row r="490" spans="1:38" ht="14.4">
      <c r="A490" s="14"/>
      <c r="B490" s="1"/>
      <c r="C490" s="1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</row>
    <row r="491" spans="1:38" ht="14.4">
      <c r="A491" s="14"/>
      <c r="B491" s="1"/>
      <c r="C491" s="1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</row>
    <row r="492" spans="1:38" ht="14.4">
      <c r="A492" s="14"/>
      <c r="B492" s="1"/>
      <c r="C492" s="1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</row>
    <row r="493" spans="1:38" ht="14.4">
      <c r="A493" s="14"/>
      <c r="B493" s="1"/>
      <c r="C493" s="1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</row>
    <row r="494" spans="1:38" ht="14.4">
      <c r="A494" s="14"/>
      <c r="B494" s="1"/>
      <c r="C494" s="1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</row>
    <row r="495" spans="1:38" ht="14.4">
      <c r="A495" s="14"/>
      <c r="B495" s="1"/>
      <c r="C495" s="1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</row>
    <row r="496" spans="1:38" ht="14.4">
      <c r="A496" s="14"/>
      <c r="B496" s="1"/>
      <c r="C496" s="1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</row>
    <row r="497" spans="1:38" ht="14.4">
      <c r="A497" s="14"/>
      <c r="B497" s="1"/>
      <c r="C497" s="1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</row>
    <row r="498" spans="1:38" ht="14.4">
      <c r="A498" s="14"/>
      <c r="B498" s="1"/>
      <c r="C498" s="1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</row>
    <row r="499" spans="1:38" ht="14.4">
      <c r="A499" s="14"/>
      <c r="B499" s="1"/>
      <c r="C499" s="1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</row>
    <row r="500" spans="1:38" ht="14.4">
      <c r="A500" s="14"/>
      <c r="B500" s="1"/>
      <c r="C500" s="1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</row>
    <row r="501" spans="1:38" ht="14.4">
      <c r="A501" s="14"/>
      <c r="B501" s="1"/>
      <c r="C501" s="1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</row>
    <row r="502" spans="1:38" ht="14.4">
      <c r="A502" s="14"/>
      <c r="B502" s="1"/>
      <c r="C502" s="1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</row>
    <row r="503" spans="1:38" ht="14.4">
      <c r="A503" s="14"/>
      <c r="B503" s="1"/>
      <c r="C503" s="1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</row>
    <row r="504" spans="1:38" ht="14.4">
      <c r="A504" s="14"/>
      <c r="B504" s="1"/>
      <c r="C504" s="1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</row>
    <row r="505" spans="1:38" ht="14.4">
      <c r="A505" s="14"/>
      <c r="B505" s="1"/>
      <c r="C505" s="1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</row>
    <row r="506" spans="1:38" ht="14.4">
      <c r="A506" s="14"/>
      <c r="B506" s="1"/>
      <c r="C506" s="1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</row>
    <row r="507" spans="1:38" ht="14.4">
      <c r="A507" s="14"/>
      <c r="B507" s="1"/>
      <c r="C507" s="1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</row>
    <row r="508" spans="1:38" ht="14.4">
      <c r="A508" s="14"/>
      <c r="B508" s="1"/>
      <c r="C508" s="1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</row>
    <row r="509" spans="1:38" ht="14.4">
      <c r="A509" s="14"/>
      <c r="B509" s="1"/>
      <c r="C509" s="1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</row>
    <row r="510" spans="1:38" ht="14.4">
      <c r="A510" s="14"/>
      <c r="B510" s="1"/>
      <c r="C510" s="1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</row>
    <row r="511" spans="1:38" ht="14.4">
      <c r="A511" s="14"/>
      <c r="B511" s="1"/>
      <c r="C511" s="1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</row>
    <row r="512" spans="1:38" ht="14.4">
      <c r="A512" s="14"/>
      <c r="B512" s="1"/>
      <c r="C512" s="1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</row>
    <row r="513" spans="1:38" ht="14.4">
      <c r="A513" s="14"/>
      <c r="B513" s="1"/>
      <c r="C513" s="1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</row>
    <row r="514" spans="1:38" ht="14.4">
      <c r="A514" s="14"/>
      <c r="B514" s="1"/>
      <c r="C514" s="1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</row>
    <row r="515" spans="1:38" ht="14.4">
      <c r="A515" s="14"/>
      <c r="B515" s="1"/>
      <c r="C515" s="1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</row>
    <row r="516" spans="1:38" ht="14.4">
      <c r="A516" s="14"/>
      <c r="B516" s="1"/>
      <c r="C516" s="1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</row>
    <row r="517" spans="1:38" ht="14.4">
      <c r="A517" s="14"/>
      <c r="B517" s="1"/>
      <c r="C517" s="1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</row>
    <row r="518" spans="1:38" ht="14.4">
      <c r="A518" s="14"/>
      <c r="B518" s="1"/>
      <c r="C518" s="1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 spans="1:38" ht="14.4">
      <c r="A519" s="14"/>
      <c r="B519" s="1"/>
      <c r="C519" s="1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</row>
    <row r="520" spans="1:38" ht="14.4">
      <c r="A520" s="14"/>
      <c r="B520" s="1"/>
      <c r="C520" s="1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</row>
    <row r="521" spans="1:38" ht="14.4">
      <c r="A521" s="14"/>
      <c r="B521" s="1"/>
      <c r="C521" s="1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 spans="1:38" ht="14.4">
      <c r="A522" s="14"/>
      <c r="B522" s="1"/>
      <c r="C522" s="1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</row>
    <row r="523" spans="1:38" ht="14.4">
      <c r="A523" s="14"/>
      <c r="B523" s="1"/>
      <c r="C523" s="1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</row>
    <row r="524" spans="1:38" ht="14.4">
      <c r="A524" s="14"/>
      <c r="B524" s="1"/>
      <c r="C524" s="1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</row>
    <row r="525" spans="1:38" ht="14.4">
      <c r="A525" s="14"/>
      <c r="B525" s="1"/>
      <c r="C525" s="1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</row>
    <row r="526" spans="1:38" ht="14.4">
      <c r="A526" s="14"/>
      <c r="B526" s="1"/>
      <c r="C526" s="1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 spans="1:38" ht="14.4">
      <c r="A527" s="14"/>
      <c r="B527" s="1"/>
      <c r="C527" s="1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 spans="1:38" ht="14.4">
      <c r="A528" s="14"/>
      <c r="B528" s="1"/>
      <c r="C528" s="1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 spans="1:38" ht="14.4">
      <c r="A529" s="14"/>
      <c r="B529" s="1"/>
      <c r="C529" s="1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 spans="1:38" ht="14.4">
      <c r="A530" s="14"/>
      <c r="B530" s="1"/>
      <c r="C530" s="1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 spans="1:38" ht="14.4">
      <c r="A531" s="14"/>
      <c r="B531" s="1"/>
      <c r="C531" s="1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 spans="1:38" ht="14.4">
      <c r="A532" s="14"/>
      <c r="B532" s="1"/>
      <c r="C532" s="1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 spans="1:38" ht="14.4">
      <c r="A533" s="14"/>
      <c r="B533" s="1"/>
      <c r="C533" s="1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 spans="1:38" ht="14.4">
      <c r="A534" s="14"/>
      <c r="B534" s="1"/>
      <c r="C534" s="1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 spans="1:38" ht="14.4">
      <c r="A535" s="14"/>
      <c r="B535" s="1"/>
      <c r="C535" s="1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 spans="1:38" ht="14.4">
      <c r="A536" s="14"/>
      <c r="B536" s="1"/>
      <c r="C536" s="1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 spans="1:38" ht="14.4">
      <c r="A537" s="14"/>
      <c r="B537" s="1"/>
      <c r="C537" s="1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 spans="1:38" ht="14.4">
      <c r="A538" s="14"/>
      <c r="B538" s="1"/>
      <c r="C538" s="1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 spans="1:38" ht="14.4">
      <c r="A539" s="14"/>
      <c r="B539" s="1"/>
      <c r="C539" s="1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 spans="1:38" ht="14.4">
      <c r="A540" s="14"/>
      <c r="B540" s="1"/>
      <c r="C540" s="1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 spans="1:38" ht="14.4">
      <c r="A541" s="14"/>
      <c r="B541" s="1"/>
      <c r="C541" s="1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</row>
    <row r="542" spans="1:38" ht="14.4">
      <c r="A542" s="14"/>
      <c r="B542" s="1"/>
      <c r="C542" s="1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</row>
    <row r="543" spans="1:38" ht="14.4">
      <c r="A543" s="14"/>
      <c r="B543" s="1"/>
      <c r="C543" s="1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</row>
    <row r="544" spans="1:38" ht="14.4">
      <c r="A544" s="14"/>
      <c r="B544" s="1"/>
      <c r="C544" s="1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</row>
    <row r="545" spans="1:38" ht="14.4">
      <c r="A545" s="14"/>
      <c r="B545" s="1"/>
      <c r="C545" s="1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</row>
    <row r="546" spans="1:38" ht="14.4">
      <c r="A546" s="14"/>
      <c r="B546" s="1"/>
      <c r="C546" s="1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</row>
    <row r="547" spans="1:38" ht="14.4">
      <c r="A547" s="14"/>
      <c r="B547" s="1"/>
      <c r="C547" s="1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</row>
    <row r="548" spans="1:38" ht="14.4">
      <c r="A548" s="14"/>
      <c r="B548" s="1"/>
      <c r="C548" s="1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</row>
    <row r="549" spans="1:38" ht="14.4">
      <c r="A549" s="14"/>
      <c r="B549" s="1"/>
      <c r="C549" s="1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 spans="1:38" ht="14.4">
      <c r="A550" s="14"/>
      <c r="B550" s="1"/>
      <c r="C550" s="1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 spans="1:38" ht="14.4">
      <c r="A551" s="14"/>
      <c r="B551" s="1"/>
      <c r="C551" s="1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 spans="1:38" ht="14.4">
      <c r="A552" s="14"/>
      <c r="B552" s="1"/>
      <c r="C552" s="1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 spans="1:38" ht="14.4">
      <c r="A553" s="14"/>
      <c r="B553" s="1"/>
      <c r="C553" s="1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</row>
    <row r="554" spans="1:38" ht="14.4">
      <c r="A554" s="14"/>
      <c r="B554" s="1"/>
      <c r="C554" s="1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</row>
    <row r="555" spans="1:38" ht="14.4">
      <c r="A555" s="14"/>
      <c r="B555" s="1"/>
      <c r="C555" s="1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</row>
    <row r="556" spans="1:38" ht="14.4">
      <c r="A556" s="14"/>
      <c r="B556" s="1"/>
      <c r="C556" s="1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</row>
    <row r="557" spans="1:38" ht="14.4">
      <c r="A557" s="14"/>
      <c r="B557" s="1"/>
      <c r="C557" s="1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</row>
    <row r="558" spans="1:38" ht="14.4">
      <c r="A558" s="14"/>
      <c r="B558" s="1"/>
      <c r="C558" s="1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</row>
    <row r="559" spans="1:38" ht="14.4">
      <c r="A559" s="14"/>
      <c r="B559" s="1"/>
      <c r="C559" s="1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</row>
    <row r="560" spans="1:38" ht="14.4">
      <c r="A560" s="14"/>
      <c r="B560" s="1"/>
      <c r="C560" s="1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</row>
    <row r="561" spans="1:38" ht="14.4">
      <c r="A561" s="14"/>
      <c r="B561" s="1"/>
      <c r="C561" s="1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</row>
    <row r="562" spans="1:38" ht="14.4">
      <c r="A562" s="14"/>
      <c r="B562" s="1"/>
      <c r="C562" s="1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</row>
    <row r="563" spans="1:38" ht="14.4">
      <c r="A563" s="14"/>
      <c r="B563" s="1"/>
      <c r="C563" s="1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</row>
    <row r="564" spans="1:38" ht="14.4">
      <c r="A564" s="14"/>
      <c r="B564" s="1"/>
      <c r="C564" s="1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</row>
    <row r="565" spans="1:38" ht="14.4">
      <c r="A565" s="14"/>
      <c r="B565" s="1"/>
      <c r="C565" s="1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</row>
    <row r="566" spans="1:38" ht="14.4">
      <c r="A566" s="14"/>
      <c r="B566" s="1"/>
      <c r="C566" s="1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 spans="1:38" ht="14.4">
      <c r="A567" s="14"/>
      <c r="B567" s="1"/>
      <c r="C567" s="1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 spans="1:38" ht="14.4">
      <c r="A568" s="14"/>
      <c r="B568" s="1"/>
      <c r="C568" s="1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 spans="1:38" ht="14.4">
      <c r="A569" s="14"/>
      <c r="B569" s="1"/>
      <c r="C569" s="1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 spans="1:38" ht="14.4">
      <c r="A570" s="14"/>
      <c r="B570" s="1"/>
      <c r="C570" s="1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 spans="1:38" ht="14.4">
      <c r="A571" s="14"/>
      <c r="B571" s="1"/>
      <c r="C571" s="1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 spans="1:38" ht="14.4">
      <c r="A572" s="14"/>
      <c r="B572" s="1"/>
      <c r="C572" s="1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</row>
    <row r="573" spans="1:38" ht="14.4">
      <c r="A573" s="14"/>
      <c r="B573" s="1"/>
      <c r="C573" s="1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 spans="1:38" ht="14.4">
      <c r="A574" s="14"/>
      <c r="B574" s="1"/>
      <c r="C574" s="1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 spans="1:38" ht="14.4">
      <c r="A575" s="14"/>
      <c r="B575" s="1"/>
      <c r="C575" s="1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 spans="1:38" ht="14.4">
      <c r="A576" s="14"/>
      <c r="B576" s="1"/>
      <c r="C576" s="1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 spans="1:38" ht="14.4">
      <c r="A577" s="14"/>
      <c r="B577" s="1"/>
      <c r="C577" s="1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 spans="1:38" ht="14.4">
      <c r="A578" s="14"/>
      <c r="B578" s="1"/>
      <c r="C578" s="1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 spans="1:38" ht="14.4">
      <c r="A579" s="14"/>
      <c r="B579" s="1"/>
      <c r="C579" s="1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 spans="1:38" ht="14.4">
      <c r="A580" s="14"/>
      <c r="B580" s="1"/>
      <c r="C580" s="1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 spans="1:38" ht="14.4">
      <c r="A581" s="14"/>
      <c r="B581" s="1"/>
      <c r="C581" s="1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</row>
    <row r="582" spans="1:38" ht="14.4">
      <c r="A582" s="14"/>
      <c r="B582" s="1"/>
      <c r="C582" s="1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</row>
    <row r="583" spans="1:38" ht="14.4">
      <c r="A583" s="14"/>
      <c r="B583" s="1"/>
      <c r="C583" s="1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</row>
    <row r="584" spans="1:38" ht="14.4">
      <c r="A584" s="14"/>
      <c r="B584" s="1"/>
      <c r="C584" s="1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</row>
    <row r="585" spans="1:38" ht="14.4">
      <c r="A585" s="14"/>
      <c r="B585" s="1"/>
      <c r="C585" s="1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</row>
    <row r="586" spans="1:38" ht="14.4">
      <c r="A586" s="14"/>
      <c r="B586" s="1"/>
      <c r="C586" s="1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</row>
    <row r="587" spans="1:38" ht="14.4">
      <c r="A587" s="14"/>
      <c r="B587" s="1"/>
      <c r="C587" s="1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</row>
    <row r="588" spans="1:38" ht="14.4">
      <c r="A588" s="14"/>
      <c r="B588" s="1"/>
      <c r="C588" s="1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</row>
    <row r="589" spans="1:38" ht="14.4">
      <c r="A589" s="14"/>
      <c r="B589" s="1"/>
      <c r="C589" s="1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</row>
    <row r="590" spans="1:38" ht="14.4">
      <c r="A590" s="14"/>
      <c r="B590" s="1"/>
      <c r="C590" s="1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</row>
    <row r="591" spans="1:38" ht="14.4">
      <c r="A591" s="14"/>
      <c r="B591" s="1"/>
      <c r="C591" s="1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</row>
    <row r="592" spans="1:38" ht="14.4">
      <c r="A592" s="14"/>
      <c r="B592" s="1"/>
      <c r="C592" s="1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</row>
    <row r="593" spans="1:38" ht="14.4">
      <c r="A593" s="14"/>
      <c r="B593" s="1"/>
      <c r="C593" s="1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</row>
    <row r="594" spans="1:38" ht="14.4">
      <c r="A594" s="14"/>
      <c r="B594" s="1"/>
      <c r="C594" s="1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</row>
    <row r="595" spans="1:38" ht="14.4">
      <c r="A595" s="14"/>
      <c r="B595" s="1"/>
      <c r="C595" s="1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</row>
    <row r="596" spans="1:38" ht="14.4">
      <c r="A596" s="14"/>
      <c r="B596" s="1"/>
      <c r="C596" s="1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</row>
    <row r="597" spans="1:38" ht="14.4">
      <c r="A597" s="14"/>
      <c r="B597" s="1"/>
      <c r="C597" s="1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</row>
    <row r="598" spans="1:38" ht="14.4">
      <c r="A598" s="14"/>
      <c r="B598" s="1"/>
      <c r="C598" s="1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</row>
    <row r="599" spans="1:38" ht="14.4">
      <c r="A599" s="14"/>
      <c r="B599" s="1"/>
      <c r="C599" s="1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</row>
    <row r="600" spans="1:38" ht="14.4">
      <c r="A600" s="14"/>
      <c r="B600" s="1"/>
      <c r="C600" s="1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</row>
    <row r="601" spans="1:38" ht="14.4">
      <c r="A601" s="14"/>
      <c r="B601" s="1"/>
      <c r="C601" s="1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</row>
    <row r="602" spans="1:38" ht="14.4">
      <c r="A602" s="14"/>
      <c r="B602" s="1"/>
      <c r="C602" s="1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</row>
    <row r="603" spans="1:38" ht="14.4">
      <c r="A603" s="14"/>
      <c r="B603" s="1"/>
      <c r="C603" s="1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</row>
    <row r="604" spans="1:38" ht="14.4">
      <c r="A604" s="14"/>
      <c r="B604" s="1"/>
      <c r="C604" s="1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</row>
    <row r="605" spans="1:38" ht="14.4">
      <c r="A605" s="14"/>
      <c r="B605" s="1"/>
      <c r="C605" s="1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</row>
    <row r="606" spans="1:38" ht="14.4">
      <c r="A606" s="14"/>
      <c r="B606" s="1"/>
      <c r="C606" s="1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</row>
    <row r="607" spans="1:38" ht="14.4">
      <c r="A607" s="14"/>
      <c r="B607" s="1"/>
      <c r="C607" s="1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</row>
    <row r="608" spans="1:38" ht="14.4">
      <c r="A608" s="14"/>
      <c r="B608" s="1"/>
      <c r="C608" s="1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</row>
    <row r="609" spans="1:38" ht="14.4">
      <c r="A609" s="14"/>
      <c r="B609" s="1"/>
      <c r="C609" s="1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</row>
    <row r="610" spans="1:38" ht="14.4">
      <c r="A610" s="14"/>
      <c r="B610" s="1"/>
      <c r="C610" s="1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</row>
    <row r="611" spans="1:38" ht="14.4">
      <c r="A611" s="14"/>
      <c r="B611" s="1"/>
      <c r="C611" s="1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</row>
    <row r="612" spans="1:38" ht="14.4">
      <c r="A612" s="14"/>
      <c r="B612" s="1"/>
      <c r="C612" s="1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</row>
    <row r="613" spans="1:38" ht="14.4">
      <c r="A613" s="14"/>
      <c r="B613" s="1"/>
      <c r="C613" s="1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</row>
    <row r="614" spans="1:38" ht="14.4">
      <c r="A614" s="14"/>
      <c r="B614" s="1"/>
      <c r="C614" s="1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</row>
    <row r="615" spans="1:38" ht="14.4">
      <c r="A615" s="14"/>
      <c r="B615" s="1"/>
      <c r="C615" s="1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</row>
    <row r="616" spans="1:38" ht="14.4">
      <c r="A616" s="14"/>
      <c r="B616" s="1"/>
      <c r="C616" s="1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</row>
    <row r="617" spans="1:38" ht="14.4">
      <c r="A617" s="14"/>
      <c r="B617" s="1"/>
      <c r="C617" s="1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</row>
    <row r="618" spans="1:38" ht="14.4">
      <c r="A618" s="14"/>
      <c r="B618" s="1"/>
      <c r="C618" s="1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</row>
    <row r="619" spans="1:38" ht="14.4">
      <c r="A619" s="14"/>
      <c r="B619" s="1"/>
      <c r="C619" s="1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</row>
    <row r="620" spans="1:38" ht="14.4">
      <c r="A620" s="14"/>
      <c r="B620" s="1"/>
      <c r="C620" s="1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</row>
    <row r="621" spans="1:38" ht="14.4">
      <c r="A621" s="14"/>
      <c r="B621" s="1"/>
      <c r="C621" s="1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</row>
    <row r="622" spans="1:38" ht="14.4">
      <c r="A622" s="14"/>
      <c r="B622" s="1"/>
      <c r="C622" s="1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</row>
    <row r="623" spans="1:38" ht="14.4">
      <c r="A623" s="14"/>
      <c r="B623" s="1"/>
      <c r="C623" s="1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</row>
    <row r="624" spans="1:38" ht="14.4">
      <c r="A624" s="14"/>
      <c r="B624" s="1"/>
      <c r="C624" s="1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</row>
    <row r="625" spans="1:38" ht="14.4">
      <c r="A625" s="14"/>
      <c r="B625" s="1"/>
      <c r="C625" s="1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</row>
    <row r="626" spans="1:38" ht="14.4">
      <c r="A626" s="14"/>
      <c r="B626" s="1"/>
      <c r="C626" s="1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</row>
    <row r="627" spans="1:38" ht="14.4">
      <c r="A627" s="14"/>
      <c r="B627" s="1"/>
      <c r="C627" s="1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</row>
    <row r="628" spans="1:38" ht="14.4">
      <c r="A628" s="14"/>
      <c r="B628" s="1"/>
      <c r="C628" s="1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</row>
    <row r="629" spans="1:38" ht="14.4">
      <c r="A629" s="14"/>
      <c r="B629" s="1"/>
      <c r="C629" s="1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</row>
    <row r="630" spans="1:38" ht="14.4">
      <c r="A630" s="14"/>
      <c r="B630" s="1"/>
      <c r="C630" s="1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</row>
    <row r="631" spans="1:38" ht="14.4">
      <c r="A631" s="14"/>
      <c r="B631" s="1"/>
      <c r="C631" s="1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</row>
    <row r="632" spans="1:38" ht="14.4">
      <c r="A632" s="14"/>
      <c r="B632" s="1"/>
      <c r="C632" s="1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</row>
    <row r="633" spans="1:38" ht="14.4">
      <c r="A633" s="14"/>
      <c r="B633" s="1"/>
      <c r="C633" s="1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</row>
    <row r="634" spans="1:38" ht="14.4">
      <c r="A634" s="14"/>
      <c r="B634" s="1"/>
      <c r="C634" s="1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</row>
    <row r="635" spans="1:38" ht="14.4">
      <c r="A635" s="14"/>
      <c r="B635" s="1"/>
      <c r="C635" s="1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</row>
    <row r="636" spans="1:38" ht="14.4">
      <c r="A636" s="14"/>
      <c r="B636" s="1"/>
      <c r="C636" s="1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</row>
    <row r="637" spans="1:38" ht="14.4">
      <c r="A637" s="14"/>
      <c r="B637" s="1"/>
      <c r="C637" s="1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</row>
    <row r="638" spans="1:38" ht="14.4">
      <c r="A638" s="14"/>
      <c r="B638" s="1"/>
      <c r="C638" s="1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</row>
    <row r="639" spans="1:38" ht="14.4">
      <c r="A639" s="14"/>
      <c r="B639" s="1"/>
      <c r="C639" s="1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</row>
    <row r="640" spans="1:38" ht="14.4">
      <c r="A640" s="14"/>
      <c r="B640" s="1"/>
      <c r="C640" s="1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</row>
    <row r="641" spans="1:38" ht="14.4">
      <c r="A641" s="14"/>
      <c r="B641" s="1"/>
      <c r="C641" s="1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</row>
    <row r="642" spans="1:38" ht="14.4">
      <c r="A642" s="14"/>
      <c r="B642" s="1"/>
      <c r="C642" s="1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</row>
    <row r="643" spans="1:38" ht="14.4">
      <c r="A643" s="14"/>
      <c r="B643" s="1"/>
      <c r="C643" s="1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</row>
    <row r="644" spans="1:38" ht="14.4">
      <c r="A644" s="14"/>
      <c r="B644" s="1"/>
      <c r="C644" s="1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</row>
    <row r="645" spans="1:38" ht="14.4">
      <c r="A645" s="14"/>
      <c r="B645" s="1"/>
      <c r="C645" s="1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</row>
    <row r="646" spans="1:38" ht="14.4">
      <c r="A646" s="14"/>
      <c r="B646" s="1"/>
      <c r="C646" s="1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</row>
    <row r="647" spans="1:38" ht="14.4">
      <c r="A647" s="14"/>
      <c r="B647" s="1"/>
      <c r="C647" s="1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</row>
    <row r="648" spans="1:38" ht="14.4">
      <c r="A648" s="14"/>
      <c r="B648" s="1"/>
      <c r="C648" s="1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</row>
    <row r="649" spans="1:38" ht="14.4">
      <c r="A649" s="14"/>
      <c r="B649" s="1"/>
      <c r="C649" s="1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</row>
    <row r="650" spans="1:38" ht="14.4">
      <c r="A650" s="14"/>
      <c r="B650" s="1"/>
      <c r="C650" s="1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</row>
    <row r="651" spans="1:38" ht="14.4">
      <c r="A651" s="14"/>
      <c r="B651" s="1"/>
      <c r="C651" s="1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</row>
    <row r="652" spans="1:38" ht="14.4">
      <c r="A652" s="14"/>
      <c r="B652" s="1"/>
      <c r="C652" s="1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</row>
    <row r="653" spans="1:38" ht="14.4">
      <c r="A653" s="14"/>
      <c r="B653" s="1"/>
      <c r="C653" s="1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</row>
    <row r="654" spans="1:38" ht="14.4">
      <c r="A654" s="14"/>
      <c r="B654" s="1"/>
      <c r="C654" s="1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</row>
    <row r="655" spans="1:38" ht="14.4">
      <c r="A655" s="14"/>
      <c r="B655" s="1"/>
      <c r="C655" s="1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</row>
    <row r="656" spans="1:38" ht="14.4">
      <c r="A656" s="14"/>
      <c r="B656" s="1"/>
      <c r="C656" s="1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</row>
    <row r="657" spans="1:38" ht="14.4">
      <c r="A657" s="14"/>
      <c r="B657" s="1"/>
      <c r="C657" s="1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</row>
    <row r="658" spans="1:38" ht="14.4">
      <c r="A658" s="14"/>
      <c r="B658" s="1"/>
      <c r="C658" s="1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</row>
    <row r="659" spans="1:38" ht="14.4">
      <c r="A659" s="14"/>
      <c r="B659" s="1"/>
      <c r="C659" s="1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</row>
    <row r="660" spans="1:38" ht="14.4">
      <c r="A660" s="14"/>
      <c r="B660" s="1"/>
      <c r="C660" s="1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</row>
    <row r="661" spans="1:38" ht="14.4">
      <c r="A661" s="14"/>
      <c r="B661" s="1"/>
      <c r="C661" s="1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</row>
    <row r="662" spans="1:38" ht="14.4">
      <c r="A662" s="14"/>
      <c r="B662" s="1"/>
      <c r="C662" s="1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</row>
    <row r="663" spans="1:38" ht="14.4">
      <c r="A663" s="14"/>
      <c r="B663" s="1"/>
      <c r="C663" s="1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</row>
    <row r="664" spans="1:38" ht="14.4">
      <c r="A664" s="14"/>
      <c r="B664" s="1"/>
      <c r="C664" s="1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</row>
    <row r="665" spans="1:38" ht="14.4">
      <c r="A665" s="14"/>
      <c r="B665" s="1"/>
      <c r="C665" s="1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</row>
    <row r="666" spans="1:38" ht="14.4">
      <c r="A666" s="14"/>
      <c r="B666" s="1"/>
      <c r="C666" s="1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</row>
    <row r="667" spans="1:38" ht="14.4">
      <c r="A667" s="14"/>
      <c r="B667" s="1"/>
      <c r="C667" s="1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</row>
    <row r="668" spans="1:38" ht="14.4">
      <c r="A668" s="14"/>
      <c r="B668" s="1"/>
      <c r="C668" s="1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</row>
    <row r="669" spans="1:38" ht="14.4">
      <c r="A669" s="14"/>
      <c r="B669" s="1"/>
      <c r="C669" s="1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</row>
    <row r="670" spans="1:38" ht="14.4">
      <c r="A670" s="14"/>
      <c r="B670" s="1"/>
      <c r="C670" s="1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</row>
    <row r="671" spans="1:38" ht="14.4">
      <c r="A671" s="14"/>
      <c r="B671" s="1"/>
      <c r="C671" s="1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</row>
    <row r="672" spans="1:38" ht="14.4">
      <c r="A672" s="14"/>
      <c r="B672" s="1"/>
      <c r="C672" s="1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</row>
    <row r="673" spans="1:38" ht="14.4">
      <c r="A673" s="14"/>
      <c r="B673" s="1"/>
      <c r="C673" s="1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</row>
    <row r="674" spans="1:38" ht="14.4">
      <c r="A674" s="14"/>
      <c r="B674" s="1"/>
      <c r="C674" s="1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</row>
    <row r="675" spans="1:38" ht="14.4">
      <c r="A675" s="14"/>
      <c r="B675" s="1"/>
      <c r="C675" s="1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</row>
    <row r="676" spans="1:38" ht="14.4">
      <c r="A676" s="14"/>
      <c r="B676" s="1"/>
      <c r="C676" s="1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</row>
    <row r="677" spans="1:38" ht="14.4">
      <c r="A677" s="14"/>
      <c r="B677" s="1"/>
      <c r="C677" s="1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</row>
    <row r="678" spans="1:38" ht="14.4">
      <c r="A678" s="14"/>
      <c r="B678" s="1"/>
      <c r="C678" s="1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</row>
    <row r="679" spans="1:38" ht="14.4">
      <c r="A679" s="14"/>
      <c r="B679" s="1"/>
      <c r="C679" s="1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</row>
    <row r="680" spans="1:38" ht="14.4">
      <c r="A680" s="14"/>
      <c r="B680" s="1"/>
      <c r="C680" s="1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</row>
    <row r="681" spans="1:38" ht="14.4">
      <c r="A681" s="14"/>
      <c r="B681" s="1"/>
      <c r="C681" s="1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</row>
    <row r="682" spans="1:38" ht="14.4">
      <c r="A682" s="14"/>
      <c r="B682" s="1"/>
      <c r="C682" s="1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</row>
    <row r="683" spans="1:38" ht="14.4">
      <c r="A683" s="14"/>
      <c r="B683" s="1"/>
      <c r="C683" s="1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</row>
    <row r="684" spans="1:38" ht="14.4">
      <c r="A684" s="14"/>
      <c r="B684" s="1"/>
      <c r="C684" s="1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</row>
    <row r="685" spans="1:38" ht="14.4">
      <c r="A685" s="14"/>
      <c r="B685" s="1"/>
      <c r="C685" s="1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</row>
    <row r="686" spans="1:38" ht="14.4">
      <c r="A686" s="14"/>
      <c r="B686" s="1"/>
      <c r="C686" s="1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</row>
    <row r="687" spans="1:38" ht="14.4">
      <c r="A687" s="14"/>
      <c r="B687" s="1"/>
      <c r="C687" s="1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</row>
    <row r="688" spans="1:38" ht="14.4">
      <c r="A688" s="14"/>
      <c r="B688" s="1"/>
      <c r="C688" s="1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</row>
    <row r="689" spans="1:38" ht="14.4">
      <c r="A689" s="14"/>
      <c r="B689" s="1"/>
      <c r="C689" s="1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</row>
    <row r="690" spans="1:38" ht="14.4">
      <c r="A690" s="14"/>
      <c r="B690" s="1"/>
      <c r="C690" s="1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</row>
    <row r="691" spans="1:38" ht="14.4">
      <c r="A691" s="14"/>
      <c r="B691" s="1"/>
      <c r="C691" s="1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</row>
    <row r="692" spans="1:38" ht="14.4">
      <c r="A692" s="14"/>
      <c r="B692" s="1"/>
      <c r="C692" s="1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</row>
    <row r="693" spans="1:38" ht="14.4">
      <c r="A693" s="14"/>
      <c r="B693" s="1"/>
      <c r="C693" s="1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</row>
    <row r="694" spans="1:38" ht="14.4">
      <c r="A694" s="14"/>
      <c r="B694" s="1"/>
      <c r="C694" s="1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</row>
    <row r="695" spans="1:38" ht="14.4">
      <c r="A695" s="14"/>
      <c r="B695" s="1"/>
      <c r="C695" s="1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</row>
    <row r="696" spans="1:38" ht="14.4">
      <c r="A696" s="14"/>
      <c r="B696" s="1"/>
      <c r="C696" s="1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</row>
    <row r="697" spans="1:38" ht="14.4">
      <c r="A697" s="14"/>
      <c r="B697" s="1"/>
      <c r="C697" s="1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</row>
    <row r="698" spans="1:38" ht="14.4">
      <c r="A698" s="14"/>
      <c r="B698" s="1"/>
      <c r="C698" s="1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</row>
    <row r="699" spans="1:38" ht="14.4">
      <c r="A699" s="14"/>
      <c r="B699" s="1"/>
      <c r="C699" s="1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</row>
    <row r="700" spans="1:38" ht="14.4">
      <c r="A700" s="14"/>
      <c r="B700" s="1"/>
      <c r="C700" s="1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</row>
    <row r="701" spans="1:38" ht="14.4">
      <c r="A701" s="14"/>
      <c r="B701" s="1"/>
      <c r="C701" s="1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</row>
    <row r="702" spans="1:38" ht="14.4">
      <c r="A702" s="14"/>
      <c r="B702" s="1"/>
      <c r="C702" s="1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</row>
    <row r="703" spans="1:38" ht="14.4">
      <c r="A703" s="14"/>
      <c r="B703" s="1"/>
      <c r="C703" s="1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</row>
    <row r="704" spans="1:38" ht="14.4">
      <c r="A704" s="14"/>
      <c r="B704" s="1"/>
      <c r="C704" s="1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</row>
    <row r="705" spans="1:38" ht="14.4">
      <c r="A705" s="14"/>
      <c r="B705" s="1"/>
      <c r="C705" s="1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</row>
    <row r="706" spans="1:38" ht="14.4">
      <c r="A706" s="14"/>
      <c r="B706" s="1"/>
      <c r="C706" s="1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</row>
    <row r="707" spans="1:38" ht="14.4">
      <c r="A707" s="14"/>
      <c r="B707" s="1"/>
      <c r="C707" s="1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</row>
    <row r="708" spans="1:38" ht="14.4">
      <c r="A708" s="14"/>
      <c r="B708" s="1"/>
      <c r="C708" s="1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</row>
    <row r="709" spans="1:38" ht="14.4">
      <c r="A709" s="14"/>
      <c r="B709" s="1"/>
      <c r="C709" s="1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</row>
    <row r="710" spans="1:38" ht="14.4">
      <c r="A710" s="14"/>
      <c r="B710" s="1"/>
      <c r="C710" s="1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</row>
    <row r="711" spans="1:38" ht="14.4">
      <c r="A711" s="14"/>
      <c r="B711" s="1"/>
      <c r="C711" s="1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</row>
    <row r="712" spans="1:38" ht="14.4">
      <c r="A712" s="14"/>
      <c r="B712" s="1"/>
      <c r="C712" s="1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</row>
    <row r="713" spans="1:38" ht="14.4">
      <c r="A713" s="14"/>
      <c r="B713" s="1"/>
      <c r="C713" s="1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</row>
    <row r="714" spans="1:38" ht="14.4">
      <c r="A714" s="14"/>
      <c r="B714" s="1"/>
      <c r="C714" s="1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</row>
    <row r="715" spans="1:38" ht="14.4">
      <c r="A715" s="14"/>
      <c r="B715" s="1"/>
      <c r="C715" s="1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</row>
    <row r="716" spans="1:38" ht="14.4">
      <c r="A716" s="14"/>
      <c r="B716" s="1"/>
      <c r="C716" s="1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</row>
    <row r="717" spans="1:38" ht="14.4">
      <c r="A717" s="14"/>
      <c r="B717" s="1"/>
      <c r="C717" s="1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</row>
    <row r="718" spans="1:38" ht="14.4">
      <c r="A718" s="14"/>
      <c r="B718" s="1"/>
      <c r="C718" s="1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</row>
    <row r="719" spans="1:38" ht="14.4">
      <c r="A719" s="14"/>
      <c r="B719" s="1"/>
      <c r="C719" s="1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</row>
    <row r="720" spans="1:38" ht="14.4">
      <c r="A720" s="14"/>
      <c r="B720" s="1"/>
      <c r="C720" s="1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</row>
    <row r="721" spans="1:38" ht="14.4">
      <c r="A721" s="14"/>
      <c r="B721" s="1"/>
      <c r="C721" s="1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</row>
    <row r="722" spans="1:38" ht="14.4">
      <c r="A722" s="14"/>
      <c r="B722" s="1"/>
      <c r="C722" s="1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</row>
    <row r="723" spans="1:38" ht="14.4">
      <c r="A723" s="14"/>
      <c r="B723" s="1"/>
      <c r="C723" s="1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</row>
    <row r="724" spans="1:38" ht="14.4">
      <c r="A724" s="14"/>
      <c r="B724" s="1"/>
      <c r="C724" s="1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</row>
    <row r="725" spans="1:38" ht="14.4">
      <c r="A725" s="14"/>
      <c r="B725" s="1"/>
      <c r="C725" s="1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</row>
    <row r="726" spans="1:38" ht="14.4">
      <c r="A726" s="14"/>
      <c r="B726" s="1"/>
      <c r="C726" s="1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</row>
    <row r="727" spans="1:38" ht="14.4">
      <c r="A727" s="14"/>
      <c r="B727" s="1"/>
      <c r="C727" s="1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</row>
    <row r="728" spans="1:38" ht="14.4">
      <c r="A728" s="14"/>
      <c r="B728" s="1"/>
      <c r="C728" s="1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</row>
    <row r="729" spans="1:38" ht="14.4">
      <c r="A729" s="14"/>
      <c r="B729" s="1"/>
      <c r="C729" s="1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</row>
    <row r="730" spans="1:38" ht="14.4">
      <c r="A730" s="14"/>
      <c r="B730" s="1"/>
      <c r="C730" s="1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</row>
    <row r="731" spans="1:38" ht="14.4">
      <c r="A731" s="14"/>
      <c r="B731" s="1"/>
      <c r="C731" s="1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</row>
    <row r="732" spans="1:38" ht="14.4">
      <c r="A732" s="14"/>
      <c r="B732" s="1"/>
      <c r="C732" s="1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</row>
    <row r="733" spans="1:38" ht="14.4">
      <c r="A733" s="14"/>
      <c r="B733" s="1"/>
      <c r="C733" s="1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</row>
    <row r="734" spans="1:38" ht="14.4">
      <c r="A734" s="14"/>
      <c r="B734" s="1"/>
      <c r="C734" s="1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</row>
    <row r="735" spans="1:38" ht="14.4">
      <c r="A735" s="14"/>
      <c r="B735" s="1"/>
      <c r="C735" s="1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</row>
    <row r="736" spans="1:38" ht="14.4">
      <c r="A736" s="14"/>
      <c r="B736" s="1"/>
      <c r="C736" s="1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</row>
    <row r="737" spans="1:38" ht="14.4">
      <c r="A737" s="14"/>
      <c r="B737" s="1"/>
      <c r="C737" s="1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</row>
    <row r="738" spans="1:38" ht="14.4">
      <c r="A738" s="14"/>
      <c r="B738" s="1"/>
      <c r="C738" s="1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</row>
    <row r="739" spans="1:38" ht="14.4">
      <c r="A739" s="14"/>
      <c r="B739" s="1"/>
      <c r="C739" s="1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</row>
    <row r="740" spans="1:38" ht="14.4">
      <c r="A740" s="14"/>
      <c r="B740" s="1"/>
      <c r="C740" s="1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</row>
    <row r="741" spans="1:38" ht="14.4">
      <c r="A741" s="14"/>
      <c r="B741" s="1"/>
      <c r="C741" s="1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</row>
    <row r="742" spans="1:38" ht="14.4">
      <c r="A742" s="14"/>
      <c r="B742" s="1"/>
      <c r="C742" s="1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</row>
    <row r="743" spans="1:38" ht="14.4">
      <c r="A743" s="14"/>
      <c r="B743" s="1"/>
      <c r="C743" s="1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</row>
    <row r="744" spans="1:38" ht="14.4">
      <c r="A744" s="14"/>
      <c r="B744" s="1"/>
      <c r="C744" s="1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</row>
    <row r="745" spans="1:38" ht="14.4">
      <c r="A745" s="14"/>
      <c r="B745" s="1"/>
      <c r="C745" s="1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</row>
    <row r="746" spans="1:38" ht="14.4">
      <c r="A746" s="14"/>
      <c r="B746" s="1"/>
      <c r="C746" s="1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</row>
    <row r="747" spans="1:38" ht="14.4">
      <c r="A747" s="14"/>
      <c r="B747" s="1"/>
      <c r="C747" s="1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</row>
    <row r="748" spans="1:38" ht="14.4">
      <c r="A748" s="14"/>
      <c r="B748" s="1"/>
      <c r="C748" s="1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</row>
    <row r="749" spans="1:38" ht="14.4">
      <c r="A749" s="14"/>
      <c r="B749" s="1"/>
      <c r="C749" s="1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</row>
    <row r="750" spans="1:38" ht="14.4">
      <c r="A750" s="14"/>
      <c r="B750" s="1"/>
      <c r="C750" s="1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</row>
    <row r="751" spans="1:38" ht="14.4">
      <c r="A751" s="14"/>
      <c r="B751" s="1"/>
      <c r="C751" s="1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</row>
    <row r="752" spans="1:38" ht="14.4">
      <c r="A752" s="14"/>
      <c r="B752" s="1"/>
      <c r="C752" s="1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</row>
    <row r="753" spans="1:38" ht="14.4">
      <c r="A753" s="14"/>
      <c r="B753" s="1"/>
      <c r="C753" s="1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</row>
    <row r="754" spans="1:38" ht="14.4">
      <c r="A754" s="14"/>
      <c r="B754" s="1"/>
      <c r="C754" s="1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</row>
    <row r="755" spans="1:38" ht="14.4">
      <c r="A755" s="14"/>
      <c r="B755" s="1"/>
      <c r="C755" s="1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</row>
    <row r="756" spans="1:38" ht="14.4">
      <c r="A756" s="14"/>
      <c r="B756" s="1"/>
      <c r="C756" s="1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</row>
    <row r="757" spans="1:38" ht="14.4">
      <c r="A757" s="14"/>
      <c r="B757" s="1"/>
      <c r="C757" s="1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</row>
    <row r="758" spans="1:38" ht="14.4">
      <c r="A758" s="14"/>
      <c r="B758" s="1"/>
      <c r="C758" s="1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 spans="1:38" ht="14.4">
      <c r="A759" s="14"/>
      <c r="B759" s="1"/>
      <c r="C759" s="1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</row>
    <row r="760" spans="1:38" ht="14.4">
      <c r="A760" s="14"/>
      <c r="B760" s="1"/>
      <c r="C760" s="1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</row>
    <row r="761" spans="1:38" ht="14.4">
      <c r="A761" s="14"/>
      <c r="B761" s="1"/>
      <c r="C761" s="1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</row>
    <row r="762" spans="1:38" ht="14.4">
      <c r="A762" s="14"/>
      <c r="B762" s="1"/>
      <c r="C762" s="1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</row>
    <row r="763" spans="1:38" ht="14.4">
      <c r="A763" s="14"/>
      <c r="B763" s="1"/>
      <c r="C763" s="1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</row>
    <row r="764" spans="1:38" ht="14.4">
      <c r="A764" s="14"/>
      <c r="B764" s="1"/>
      <c r="C764" s="1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</row>
    <row r="765" spans="1:38" ht="14.4">
      <c r="A765" s="14"/>
      <c r="B765" s="1"/>
      <c r="C765" s="1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</row>
    <row r="766" spans="1:38" ht="14.4">
      <c r="A766" s="14"/>
      <c r="B766" s="1"/>
      <c r="C766" s="1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</row>
    <row r="767" spans="1:38" ht="14.4">
      <c r="A767" s="14"/>
      <c r="B767" s="1"/>
      <c r="C767" s="1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</row>
    <row r="768" spans="1:38" ht="14.4">
      <c r="A768" s="14"/>
      <c r="B768" s="1"/>
      <c r="C768" s="1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</row>
    <row r="769" spans="1:38" ht="14.4">
      <c r="A769" s="14"/>
      <c r="B769" s="1"/>
      <c r="C769" s="1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 spans="1:38" ht="14.4">
      <c r="A770" s="14"/>
      <c r="B770" s="1"/>
      <c r="C770" s="1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 spans="1:38" ht="14.4">
      <c r="A771" s="14"/>
      <c r="B771" s="1"/>
      <c r="C771" s="1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</row>
    <row r="772" spans="1:38" ht="14.4">
      <c r="A772" s="14"/>
      <c r="B772" s="1"/>
      <c r="C772" s="1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</row>
    <row r="773" spans="1:38" ht="14.4">
      <c r="A773" s="14"/>
      <c r="B773" s="1"/>
      <c r="C773" s="1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</row>
    <row r="774" spans="1:38" ht="14.4">
      <c r="A774" s="14"/>
      <c r="B774" s="1"/>
      <c r="C774" s="1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</row>
    <row r="775" spans="1:38" ht="14.4">
      <c r="A775" s="14"/>
      <c r="B775" s="1"/>
      <c r="C775" s="1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</row>
    <row r="776" spans="1:38" ht="14.4">
      <c r="A776" s="14"/>
      <c r="B776" s="1"/>
      <c r="C776" s="1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</row>
    <row r="777" spans="1:38" ht="14.4">
      <c r="A777" s="14"/>
      <c r="B777" s="1"/>
      <c r="C777" s="1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</row>
    <row r="778" spans="1:38" ht="14.4">
      <c r="A778" s="14"/>
      <c r="B778" s="1"/>
      <c r="C778" s="1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</row>
    <row r="779" spans="1:38" ht="14.4">
      <c r="A779" s="14"/>
      <c r="B779" s="1"/>
      <c r="C779" s="1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</row>
    <row r="780" spans="1:38" ht="14.4">
      <c r="A780" s="14"/>
      <c r="B780" s="1"/>
      <c r="C780" s="1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</row>
    <row r="781" spans="1:38" ht="14.4">
      <c r="A781" s="14"/>
      <c r="B781" s="1"/>
      <c r="C781" s="1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</row>
    <row r="782" spans="1:38" ht="14.4">
      <c r="A782" s="14"/>
      <c r="B782" s="1"/>
      <c r="C782" s="1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</row>
    <row r="783" spans="1:38" ht="14.4">
      <c r="A783" s="14"/>
      <c r="B783" s="1"/>
      <c r="C783" s="1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</row>
    <row r="784" spans="1:38" ht="14.4">
      <c r="A784" s="14"/>
      <c r="B784" s="1"/>
      <c r="C784" s="1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</row>
    <row r="785" spans="1:38" ht="14.4">
      <c r="A785" s="14"/>
      <c r="B785" s="1"/>
      <c r="C785" s="1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</row>
    <row r="786" spans="1:38" ht="14.4">
      <c r="A786" s="14"/>
      <c r="B786" s="1"/>
      <c r="C786" s="1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</row>
    <row r="787" spans="1:38" ht="14.4">
      <c r="A787" s="14"/>
      <c r="B787" s="1"/>
      <c r="C787" s="1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</row>
    <row r="788" spans="1:38" ht="14.4">
      <c r="A788" s="14"/>
      <c r="B788" s="1"/>
      <c r="C788" s="1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</row>
    <row r="789" spans="1:38" ht="14.4">
      <c r="A789" s="14"/>
      <c r="B789" s="1"/>
      <c r="C789" s="1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</row>
    <row r="790" spans="1:38" ht="14.4">
      <c r="A790" s="14"/>
      <c r="B790" s="1"/>
      <c r="C790" s="1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</row>
    <row r="791" spans="1:38" ht="14.4">
      <c r="A791" s="14"/>
      <c r="B791" s="1"/>
      <c r="C791" s="1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</row>
    <row r="792" spans="1:38" ht="14.4">
      <c r="A792" s="14"/>
      <c r="B792" s="1"/>
      <c r="C792" s="1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</row>
    <row r="793" spans="1:38" ht="14.4">
      <c r="A793" s="14"/>
      <c r="B793" s="1"/>
      <c r="C793" s="1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</row>
    <row r="794" spans="1:38" ht="14.4">
      <c r="A794" s="14"/>
      <c r="B794" s="1"/>
      <c r="C794" s="1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</row>
    <row r="795" spans="1:38" ht="14.4">
      <c r="A795" s="14"/>
      <c r="B795" s="1"/>
      <c r="C795" s="1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</row>
    <row r="796" spans="1:38" ht="14.4">
      <c r="A796" s="14"/>
      <c r="B796" s="1"/>
      <c r="C796" s="1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</row>
    <row r="797" spans="1:38" ht="14.4">
      <c r="A797" s="14"/>
      <c r="B797" s="1"/>
      <c r="C797" s="1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</row>
    <row r="798" spans="1:38" ht="14.4">
      <c r="A798" s="14"/>
      <c r="B798" s="1"/>
      <c r="C798" s="1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</row>
    <row r="799" spans="1:38" ht="14.4">
      <c r="A799" s="14"/>
      <c r="B799" s="1"/>
      <c r="C799" s="1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</row>
    <row r="800" spans="1:38" ht="14.4">
      <c r="A800" s="14"/>
      <c r="B800" s="1"/>
      <c r="C800" s="1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</row>
    <row r="801" spans="1:38" ht="14.4">
      <c r="A801" s="14"/>
      <c r="B801" s="1"/>
      <c r="C801" s="1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</row>
    <row r="802" spans="1:38" ht="14.4">
      <c r="A802" s="14"/>
      <c r="B802" s="1"/>
      <c r="C802" s="1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</row>
    <row r="803" spans="1:38" ht="14.4">
      <c r="A803" s="14"/>
      <c r="B803" s="1"/>
      <c r="C803" s="1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</row>
    <row r="804" spans="1:38" ht="14.4">
      <c r="A804" s="14"/>
      <c r="B804" s="1"/>
      <c r="C804" s="1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</row>
    <row r="805" spans="1:38" ht="14.4">
      <c r="A805" s="14"/>
      <c r="B805" s="1"/>
      <c r="C805" s="1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</row>
    <row r="806" spans="1:38" ht="14.4">
      <c r="A806" s="14"/>
      <c r="B806" s="1"/>
      <c r="C806" s="1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</row>
    <row r="807" spans="1:38" ht="14.4">
      <c r="A807" s="14"/>
      <c r="B807" s="1"/>
      <c r="C807" s="1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</row>
    <row r="808" spans="1:38" ht="14.4">
      <c r="A808" s="14"/>
      <c r="B808" s="1"/>
      <c r="C808" s="1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</row>
    <row r="809" spans="1:38" ht="14.4">
      <c r="A809" s="14"/>
      <c r="B809" s="1"/>
      <c r="C809" s="1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</row>
    <row r="810" spans="1:38" ht="14.4">
      <c r="A810" s="14"/>
      <c r="B810" s="1"/>
      <c r="C810" s="1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</row>
    <row r="811" spans="1:38" ht="14.4">
      <c r="A811" s="14"/>
      <c r="B811" s="1"/>
      <c r="C811" s="1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</row>
    <row r="812" spans="1:38" ht="14.4">
      <c r="A812" s="14"/>
      <c r="B812" s="1"/>
      <c r="C812" s="1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</row>
    <row r="813" spans="1:38" ht="14.4">
      <c r="A813" s="14"/>
      <c r="B813" s="1"/>
      <c r="C813" s="1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</row>
    <row r="814" spans="1:38" ht="14.4">
      <c r="A814" s="14"/>
      <c r="B814" s="1"/>
      <c r="C814" s="1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</row>
    <row r="815" spans="1:38" ht="14.4">
      <c r="A815" s="14"/>
      <c r="B815" s="1"/>
      <c r="C815" s="1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</row>
    <row r="816" spans="1:38" ht="14.4">
      <c r="A816" s="14"/>
      <c r="B816" s="1"/>
      <c r="C816" s="1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</row>
    <row r="817" spans="1:38" ht="14.4">
      <c r="A817" s="14"/>
      <c r="B817" s="1"/>
      <c r="C817" s="1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</row>
    <row r="818" spans="1:38" ht="14.4">
      <c r="A818" s="14"/>
      <c r="B818" s="1"/>
      <c r="C818" s="1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</row>
    <row r="819" spans="1:38" ht="14.4">
      <c r="A819" s="14"/>
      <c r="B819" s="1"/>
      <c r="C819" s="1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</row>
    <row r="820" spans="1:38" ht="14.4">
      <c r="A820" s="14"/>
      <c r="B820" s="1"/>
      <c r="C820" s="1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</row>
    <row r="821" spans="1:38" ht="14.4">
      <c r="A821" s="14"/>
      <c r="B821" s="1"/>
      <c r="C821" s="1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</row>
    <row r="822" spans="1:38" ht="14.4">
      <c r="A822" s="14"/>
      <c r="B822" s="1"/>
      <c r="C822" s="1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</row>
    <row r="823" spans="1:38" ht="14.4">
      <c r="A823" s="14"/>
      <c r="B823" s="1"/>
      <c r="C823" s="1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</row>
    <row r="824" spans="1:38" ht="14.4">
      <c r="A824" s="14"/>
      <c r="B824" s="1"/>
      <c r="C824" s="1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</row>
    <row r="825" spans="1:38" ht="14.4">
      <c r="A825" s="14"/>
      <c r="B825" s="1"/>
      <c r="C825" s="1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</row>
    <row r="826" spans="1:38" ht="14.4">
      <c r="A826" s="14"/>
      <c r="B826" s="1"/>
      <c r="C826" s="1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</row>
    <row r="827" spans="1:38" ht="14.4">
      <c r="A827" s="14"/>
      <c r="B827" s="1"/>
      <c r="C827" s="1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</row>
    <row r="828" spans="1:38" ht="14.4">
      <c r="A828" s="14"/>
      <c r="B828" s="1"/>
      <c r="C828" s="1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</row>
    <row r="829" spans="1:38" ht="14.4">
      <c r="A829" s="14"/>
      <c r="B829" s="1"/>
      <c r="C829" s="1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</row>
    <row r="830" spans="1:38" ht="14.4">
      <c r="A830" s="14"/>
      <c r="B830" s="1"/>
      <c r="C830" s="1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</row>
    <row r="831" spans="1:38" ht="14.4">
      <c r="A831" s="14"/>
      <c r="B831" s="1"/>
      <c r="C831" s="1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</row>
    <row r="832" spans="1:38" ht="14.4">
      <c r="A832" s="14"/>
      <c r="B832" s="1"/>
      <c r="C832" s="1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</row>
    <row r="833" spans="1:38" ht="14.4">
      <c r="A833" s="14"/>
      <c r="B833" s="1"/>
      <c r="C833" s="1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</row>
    <row r="834" spans="1:38" ht="14.4">
      <c r="A834" s="14"/>
      <c r="B834" s="1"/>
      <c r="C834" s="1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</row>
    <row r="835" spans="1:38" ht="14.4">
      <c r="A835" s="14"/>
      <c r="B835" s="1"/>
      <c r="C835" s="1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</row>
    <row r="836" spans="1:38" ht="14.4">
      <c r="A836" s="14"/>
      <c r="B836" s="1"/>
      <c r="C836" s="1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</row>
    <row r="837" spans="1:38" ht="14.4">
      <c r="A837" s="14"/>
      <c r="B837" s="1"/>
      <c r="C837" s="1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</row>
    <row r="838" spans="1:38" ht="14.4">
      <c r="A838" s="14"/>
      <c r="B838" s="1"/>
      <c r="C838" s="1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</row>
    <row r="839" spans="1:38" ht="14.4">
      <c r="A839" s="14"/>
      <c r="B839" s="1"/>
      <c r="C839" s="1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</row>
    <row r="840" spans="1:38" ht="14.4">
      <c r="A840" s="14"/>
      <c r="B840" s="1"/>
      <c r="C840" s="1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</row>
    <row r="841" spans="1:38" ht="14.4">
      <c r="A841" s="14"/>
      <c r="B841" s="1"/>
      <c r="C841" s="1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</row>
    <row r="842" spans="1:38" ht="14.4">
      <c r="A842" s="14"/>
      <c r="B842" s="1"/>
      <c r="C842" s="1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</row>
    <row r="843" spans="1:38" ht="14.4">
      <c r="A843" s="14"/>
      <c r="B843" s="1"/>
      <c r="C843" s="1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</row>
    <row r="844" spans="1:38" ht="14.4">
      <c r="A844" s="14"/>
      <c r="B844" s="1"/>
      <c r="C844" s="1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</row>
    <row r="845" spans="1:38" ht="14.4">
      <c r="A845" s="14"/>
      <c r="B845" s="1"/>
      <c r="C845" s="1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</row>
    <row r="846" spans="1:38" ht="14.4">
      <c r="A846" s="14"/>
      <c r="B846" s="1"/>
      <c r="C846" s="1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</row>
    <row r="847" spans="1:38" ht="14.4">
      <c r="A847" s="14"/>
      <c r="B847" s="1"/>
      <c r="C847" s="1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</row>
    <row r="848" spans="1:38" ht="14.4">
      <c r="A848" s="14"/>
      <c r="B848" s="1"/>
      <c r="C848" s="1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</row>
    <row r="849" spans="1:38" ht="14.4">
      <c r="A849" s="14"/>
      <c r="B849" s="1"/>
      <c r="C849" s="1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</row>
    <row r="850" spans="1:38" ht="14.4">
      <c r="A850" s="14"/>
      <c r="B850" s="1"/>
      <c r="C850" s="1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</row>
    <row r="851" spans="1:38" ht="14.4">
      <c r="A851" s="14"/>
      <c r="B851" s="1"/>
      <c r="C851" s="1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</row>
    <row r="852" spans="1:38" ht="14.4">
      <c r="A852" s="14"/>
      <c r="B852" s="1"/>
      <c r="C852" s="1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</row>
    <row r="853" spans="1:38" ht="14.4">
      <c r="A853" s="14"/>
      <c r="B853" s="1"/>
      <c r="C853" s="1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</row>
    <row r="854" spans="1:38" ht="14.4">
      <c r="A854" s="14"/>
      <c r="B854" s="1"/>
      <c r="C854" s="1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</row>
    <row r="855" spans="1:38" ht="14.4">
      <c r="A855" s="14"/>
      <c r="B855" s="1"/>
      <c r="C855" s="1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</row>
    <row r="856" spans="1:38" ht="14.4">
      <c r="A856" s="14"/>
      <c r="B856" s="1"/>
      <c r="C856" s="1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</row>
    <row r="857" spans="1:38" ht="14.4">
      <c r="A857" s="14"/>
      <c r="B857" s="1"/>
      <c r="C857" s="1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</row>
    <row r="858" spans="1:38" ht="14.4">
      <c r="A858" s="14"/>
      <c r="B858" s="1"/>
      <c r="C858" s="1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</row>
    <row r="859" spans="1:38" ht="14.4">
      <c r="A859" s="14"/>
      <c r="B859" s="1"/>
      <c r="C859" s="1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</row>
    <row r="860" spans="1:38" ht="14.4">
      <c r="A860" s="14"/>
      <c r="B860" s="1"/>
      <c r="C860" s="1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</row>
    <row r="861" spans="1:38" ht="14.4">
      <c r="A861" s="14"/>
      <c r="B861" s="1"/>
      <c r="C861" s="1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</row>
    <row r="862" spans="1:38" ht="14.4">
      <c r="A862" s="14"/>
      <c r="B862" s="1"/>
      <c r="C862" s="1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</row>
    <row r="863" spans="1:38" ht="14.4">
      <c r="A863" s="14"/>
      <c r="B863" s="1"/>
      <c r="C863" s="1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</row>
    <row r="864" spans="1:38" ht="14.4">
      <c r="A864" s="14"/>
      <c r="B864" s="1"/>
      <c r="C864" s="1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</row>
    <row r="865" spans="1:38" ht="14.4">
      <c r="A865" s="14"/>
      <c r="B865" s="1"/>
      <c r="C865" s="1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</row>
    <row r="866" spans="1:38" ht="14.4">
      <c r="A866" s="14"/>
      <c r="B866" s="1"/>
      <c r="C866" s="1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</row>
    <row r="867" spans="1:38" ht="14.4">
      <c r="A867" s="14"/>
      <c r="B867" s="1"/>
      <c r="C867" s="1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</row>
    <row r="868" spans="1:38" ht="14.4">
      <c r="A868" s="14"/>
      <c r="B868" s="1"/>
      <c r="C868" s="1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</row>
    <row r="869" spans="1:38" ht="14.4">
      <c r="A869" s="14"/>
      <c r="B869" s="1"/>
      <c r="C869" s="1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</row>
    <row r="870" spans="1:38" ht="14.4">
      <c r="A870" s="14"/>
      <c r="B870" s="1"/>
      <c r="C870" s="1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</row>
    <row r="871" spans="1:38" ht="14.4">
      <c r="A871" s="14"/>
      <c r="B871" s="1"/>
      <c r="C871" s="1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</row>
    <row r="872" spans="1:38" ht="14.4">
      <c r="A872" s="14"/>
      <c r="B872" s="1"/>
      <c r="C872" s="1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</row>
    <row r="873" spans="1:38" ht="14.4">
      <c r="A873" s="14"/>
      <c r="B873" s="1"/>
      <c r="C873" s="1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</row>
    <row r="874" spans="1:38" ht="14.4">
      <c r="A874" s="14"/>
      <c r="B874" s="1"/>
      <c r="C874" s="1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</row>
    <row r="875" spans="1:38" ht="14.4">
      <c r="A875" s="14"/>
      <c r="B875" s="1"/>
      <c r="C875" s="1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</row>
    <row r="876" spans="1:38" ht="14.4">
      <c r="A876" s="14"/>
      <c r="B876" s="1"/>
      <c r="C876" s="1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</row>
    <row r="877" spans="1:38" ht="14.4">
      <c r="A877" s="14"/>
      <c r="B877" s="1"/>
      <c r="C877" s="1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</row>
    <row r="878" spans="1:38" ht="14.4">
      <c r="A878" s="14"/>
      <c r="B878" s="1"/>
      <c r="C878" s="1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</row>
    <row r="879" spans="1:38" ht="14.4">
      <c r="A879" s="14"/>
      <c r="B879" s="1"/>
      <c r="C879" s="1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</row>
    <row r="880" spans="1:38" ht="14.4">
      <c r="A880" s="14"/>
      <c r="B880" s="1"/>
      <c r="C880" s="1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</row>
    <row r="881" spans="1:38" ht="14.4">
      <c r="A881" s="14"/>
      <c r="B881" s="1"/>
      <c r="C881" s="1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</row>
    <row r="882" spans="1:38" ht="14.4">
      <c r="A882" s="14"/>
      <c r="B882" s="1"/>
      <c r="C882" s="1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</row>
    <row r="883" spans="1:38" ht="14.4">
      <c r="A883" s="14"/>
      <c r="B883" s="1"/>
      <c r="C883" s="1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</row>
    <row r="884" spans="1:38" ht="14.4">
      <c r="A884" s="14"/>
      <c r="B884" s="1"/>
      <c r="C884" s="1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</row>
    <row r="885" spans="1:38" ht="14.4">
      <c r="A885" s="14"/>
      <c r="B885" s="1"/>
      <c r="C885" s="1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</row>
    <row r="886" spans="1:38" ht="14.4">
      <c r="A886" s="14"/>
      <c r="B886" s="1"/>
      <c r="C886" s="1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</row>
    <row r="887" spans="1:38" ht="14.4">
      <c r="A887" s="14"/>
      <c r="B887" s="1"/>
      <c r="C887" s="1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</row>
    <row r="888" spans="1:38" ht="14.4">
      <c r="A888" s="14"/>
      <c r="B888" s="1"/>
      <c r="C888" s="1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</row>
    <row r="889" spans="1:38" ht="14.4">
      <c r="A889" s="14"/>
      <c r="B889" s="1"/>
      <c r="C889" s="1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</row>
    <row r="890" spans="1:38" ht="14.4">
      <c r="A890" s="14"/>
      <c r="B890" s="1"/>
      <c r="C890" s="1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</row>
    <row r="891" spans="1:38" ht="14.4">
      <c r="A891" s="14"/>
      <c r="B891" s="1"/>
      <c r="C891" s="1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</row>
    <row r="892" spans="1:38" ht="14.4">
      <c r="A892" s="14"/>
      <c r="B892" s="1"/>
      <c r="C892" s="1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</row>
    <row r="893" spans="1:38" ht="14.4">
      <c r="A893" s="14"/>
      <c r="B893" s="1"/>
      <c r="C893" s="1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</row>
    <row r="894" spans="1:38" ht="14.4">
      <c r="A894" s="14"/>
      <c r="B894" s="1"/>
      <c r="C894" s="1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</row>
    <row r="895" spans="1:38" ht="14.4">
      <c r="A895" s="14"/>
      <c r="B895" s="1"/>
      <c r="C895" s="1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</row>
    <row r="896" spans="1:38" ht="14.4">
      <c r="A896" s="14"/>
      <c r="B896" s="1"/>
      <c r="C896" s="1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</row>
    <row r="897" spans="1:38" ht="14.4">
      <c r="A897" s="14"/>
      <c r="B897" s="1"/>
      <c r="C897" s="1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</row>
    <row r="898" spans="1:38" ht="14.4">
      <c r="A898" s="14"/>
      <c r="B898" s="1"/>
      <c r="C898" s="1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</row>
    <row r="899" spans="1:38" ht="14.4">
      <c r="A899" s="14"/>
      <c r="B899" s="1"/>
      <c r="C899" s="1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</row>
    <row r="900" spans="1:38" ht="14.4">
      <c r="A900" s="14"/>
      <c r="B900" s="1"/>
      <c r="C900" s="1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</row>
    <row r="901" spans="1:38" ht="14.4">
      <c r="A901" s="14"/>
      <c r="B901" s="1"/>
      <c r="C901" s="1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</row>
    <row r="902" spans="1:38" ht="14.4">
      <c r="A902" s="14"/>
      <c r="B902" s="1"/>
      <c r="C902" s="1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</row>
    <row r="903" spans="1:38" ht="14.4">
      <c r="A903" s="14"/>
      <c r="B903" s="1"/>
      <c r="C903" s="1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</row>
    <row r="904" spans="1:38" ht="14.4">
      <c r="A904" s="14"/>
      <c r="B904" s="1"/>
      <c r="C904" s="1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</row>
    <row r="905" spans="1:38" ht="14.4">
      <c r="A905" s="14"/>
      <c r="B905" s="1"/>
      <c r="C905" s="1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</row>
    <row r="906" spans="1:38" ht="14.4">
      <c r="A906" s="14"/>
      <c r="B906" s="1"/>
      <c r="C906" s="1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</row>
    <row r="907" spans="1:38" ht="14.4">
      <c r="A907" s="14"/>
      <c r="B907" s="1"/>
      <c r="C907" s="1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</row>
    <row r="908" spans="1:38" ht="14.4">
      <c r="A908" s="14"/>
      <c r="B908" s="1"/>
      <c r="C908" s="1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</row>
    <row r="909" spans="1:38" ht="14.4">
      <c r="A909" s="14"/>
      <c r="B909" s="1"/>
      <c r="C909" s="1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</row>
    <row r="910" spans="1:38" ht="14.4">
      <c r="A910" s="14"/>
      <c r="B910" s="1"/>
      <c r="C910" s="1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</row>
    <row r="911" spans="1:38" ht="14.4">
      <c r="A911" s="14"/>
      <c r="B911" s="1"/>
      <c r="C911" s="1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</row>
    <row r="912" spans="1:38" ht="14.4">
      <c r="A912" s="14"/>
      <c r="B912" s="1"/>
      <c r="C912" s="1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</row>
    <row r="913" spans="1:38" ht="14.4">
      <c r="A913" s="14"/>
      <c r="B913" s="1"/>
      <c r="C913" s="1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</row>
    <row r="914" spans="1:38" ht="14.4">
      <c r="A914" s="14"/>
      <c r="B914" s="1"/>
      <c r="C914" s="1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</row>
    <row r="915" spans="1:38" ht="14.4">
      <c r="A915" s="14"/>
      <c r="B915" s="1"/>
      <c r="C915" s="1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</row>
    <row r="916" spans="1:38" ht="14.4">
      <c r="A916" s="14"/>
      <c r="B916" s="1"/>
      <c r="C916" s="1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</row>
    <row r="917" spans="1:38" ht="14.4">
      <c r="A917" s="14"/>
      <c r="B917" s="1"/>
      <c r="C917" s="1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</row>
    <row r="918" spans="1:38" ht="14.4">
      <c r="A918" s="14"/>
      <c r="B918" s="1"/>
      <c r="C918" s="1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</row>
    <row r="919" spans="1:38" ht="14.4">
      <c r="A919" s="14"/>
      <c r="B919" s="1"/>
      <c r="C919" s="1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</row>
    <row r="920" spans="1:38" ht="14.4">
      <c r="A920" s="14"/>
      <c r="B920" s="1"/>
      <c r="C920" s="1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</row>
    <row r="921" spans="1:38" ht="14.4">
      <c r="A921" s="14"/>
      <c r="B921" s="1"/>
      <c r="C921" s="1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</row>
    <row r="922" spans="1:38" ht="14.4">
      <c r="A922" s="14"/>
      <c r="B922" s="1"/>
      <c r="C922" s="1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</row>
    <row r="923" spans="1:38" ht="14.4">
      <c r="A923" s="14"/>
      <c r="B923" s="1"/>
      <c r="C923" s="1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</row>
    <row r="924" spans="1:38" ht="14.4">
      <c r="A924" s="14"/>
      <c r="B924" s="1"/>
      <c r="C924" s="1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</row>
    <row r="925" spans="1:38" ht="14.4">
      <c r="A925" s="14"/>
      <c r="B925" s="1"/>
      <c r="C925" s="1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</row>
    <row r="926" spans="1:38" ht="14.4">
      <c r="A926" s="14"/>
      <c r="B926" s="1"/>
      <c r="C926" s="1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</row>
    <row r="927" spans="1:38" ht="14.4">
      <c r="A927" s="14"/>
      <c r="B927" s="1"/>
      <c r="C927" s="1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</row>
    <row r="928" spans="1:38" ht="14.4">
      <c r="A928" s="14"/>
      <c r="B928" s="1"/>
      <c r="C928" s="1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</row>
    <row r="929" spans="1:38" ht="14.4">
      <c r="A929" s="14"/>
      <c r="B929" s="1"/>
      <c r="C929" s="1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</row>
    <row r="930" spans="1:38" ht="14.4">
      <c r="A930" s="14"/>
      <c r="B930" s="1"/>
      <c r="C930" s="1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</row>
    <row r="931" spans="1:38" ht="14.4">
      <c r="A931" s="14"/>
      <c r="B931" s="1"/>
      <c r="C931" s="1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</row>
    <row r="932" spans="1:38" ht="14.4">
      <c r="A932" s="14"/>
      <c r="B932" s="1"/>
      <c r="C932" s="1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</row>
    <row r="933" spans="1:38" ht="14.4">
      <c r="A933" s="14"/>
      <c r="B933" s="1"/>
      <c r="C933" s="1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</row>
    <row r="934" spans="1:38" ht="14.4">
      <c r="A934" s="14"/>
      <c r="B934" s="1"/>
      <c r="C934" s="1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</row>
    <row r="935" spans="1:38" ht="14.4">
      <c r="A935" s="14"/>
      <c r="B935" s="1"/>
      <c r="C935" s="1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</row>
    <row r="936" spans="1:38" ht="14.4">
      <c r="A936" s="14"/>
      <c r="B936" s="1"/>
      <c r="C936" s="1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</row>
    <row r="937" spans="1:38" ht="14.4">
      <c r="A937" s="14"/>
      <c r="B937" s="1"/>
      <c r="C937" s="1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</row>
    <row r="938" spans="1:38" ht="14.4">
      <c r="A938" s="14"/>
      <c r="B938" s="1"/>
      <c r="C938" s="1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</row>
    <row r="939" spans="1:38" ht="14.4">
      <c r="A939" s="14"/>
      <c r="B939" s="1"/>
      <c r="C939" s="1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</row>
    <row r="940" spans="1:38" ht="14.4">
      <c r="A940" s="14"/>
      <c r="B940" s="1"/>
      <c r="C940" s="1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</row>
    <row r="941" spans="1:38" ht="14.4">
      <c r="A941" s="14"/>
      <c r="B941" s="1"/>
      <c r="C941" s="1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</row>
    <row r="942" spans="1:38" ht="14.4">
      <c r="A942" s="14"/>
      <c r="B942" s="1"/>
      <c r="C942" s="1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</row>
    <row r="943" spans="1:38" ht="14.4">
      <c r="A943" s="14"/>
      <c r="B943" s="1"/>
      <c r="C943" s="1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</row>
    <row r="944" spans="1:38" ht="14.4">
      <c r="A944" s="14"/>
      <c r="B944" s="1"/>
      <c r="C944" s="1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</row>
    <row r="945" spans="1:38" ht="14.4">
      <c r="A945" s="14"/>
      <c r="B945" s="1"/>
      <c r="C945" s="1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</row>
    <row r="946" spans="1:38" ht="14.4">
      <c r="A946" s="14"/>
      <c r="B946" s="1"/>
      <c r="C946" s="1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</row>
    <row r="947" spans="1:38" ht="14.4">
      <c r="A947" s="14"/>
      <c r="B947" s="1"/>
      <c r="C947" s="1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</row>
    <row r="948" spans="1:38" ht="14.4">
      <c r="A948" s="14"/>
      <c r="B948" s="1"/>
      <c r="C948" s="1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</row>
    <row r="949" spans="1:38" ht="14.4">
      <c r="A949" s="14"/>
      <c r="B949" s="1"/>
      <c r="C949" s="1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</row>
    <row r="950" spans="1:38" ht="14.4">
      <c r="A950" s="14"/>
      <c r="B950" s="1"/>
      <c r="C950" s="1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</row>
    <row r="951" spans="1:38" ht="14.4">
      <c r="A951" s="14"/>
      <c r="B951" s="1"/>
      <c r="C951" s="1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</row>
    <row r="952" spans="1:38" ht="14.4">
      <c r="A952" s="14"/>
      <c r="B952" s="1"/>
      <c r="C952" s="1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</row>
    <row r="953" spans="1:38" ht="14.4">
      <c r="A953" s="14"/>
      <c r="B953" s="1"/>
      <c r="C953" s="1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</row>
    <row r="954" spans="1:38" ht="14.4">
      <c r="A954" s="14"/>
      <c r="B954" s="1"/>
      <c r="C954" s="1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</row>
    <row r="955" spans="1:38" ht="14.4">
      <c r="A955" s="14"/>
      <c r="B955" s="1"/>
      <c r="C955" s="1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</row>
    <row r="956" spans="1:38" ht="14.4">
      <c r="A956" s="14"/>
      <c r="B956" s="1"/>
      <c r="C956" s="1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</row>
    <row r="957" spans="1:38" ht="14.4">
      <c r="A957" s="14"/>
      <c r="B957" s="1"/>
      <c r="C957" s="1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</row>
    <row r="958" spans="1:38" ht="14.4">
      <c r="A958" s="14"/>
      <c r="B958" s="1"/>
      <c r="C958" s="1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</row>
    <row r="959" spans="1:38" ht="14.4">
      <c r="A959" s="14"/>
      <c r="B959" s="1"/>
      <c r="C959" s="1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</row>
    <row r="960" spans="1:38" ht="14.4">
      <c r="A960" s="14"/>
      <c r="B960" s="1"/>
      <c r="C960" s="1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</row>
    <row r="961" spans="1:38" ht="14.4">
      <c r="A961" s="14"/>
      <c r="B961" s="1"/>
      <c r="C961" s="1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</row>
    <row r="962" spans="1:38" ht="14.4">
      <c r="A962" s="14"/>
      <c r="B962" s="1"/>
      <c r="C962" s="1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</row>
    <row r="963" spans="1:38" ht="14.4">
      <c r="A963" s="14"/>
      <c r="B963" s="1"/>
      <c r="C963" s="1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</row>
    <row r="964" spans="1:38" ht="14.4">
      <c r="A964" s="14"/>
      <c r="B964" s="1"/>
      <c r="C964" s="1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</row>
    <row r="965" spans="1:38" ht="14.4">
      <c r="A965" s="14"/>
      <c r="B965" s="1"/>
      <c r="C965" s="1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</row>
    <row r="966" spans="1:38" ht="14.4">
      <c r="A966" s="14"/>
      <c r="B966" s="1"/>
      <c r="C966" s="1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</row>
    <row r="967" spans="1:38" ht="14.4">
      <c r="A967" s="14"/>
      <c r="B967" s="1"/>
      <c r="C967" s="1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</row>
    <row r="968" spans="1:38" ht="14.4">
      <c r="A968" s="14"/>
      <c r="B968" s="1"/>
      <c r="C968" s="1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</row>
    <row r="969" spans="1:38" ht="14.4">
      <c r="A969" s="14"/>
      <c r="B969" s="1"/>
      <c r="C969" s="1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</row>
    <row r="970" spans="1:38" ht="14.4">
      <c r="A970" s="14"/>
      <c r="B970" s="1"/>
      <c r="C970" s="1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</row>
    <row r="971" spans="1:38" ht="14.4">
      <c r="A971" s="14"/>
      <c r="B971" s="1"/>
      <c r="C971" s="1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</row>
    <row r="972" spans="1:38" ht="14.4">
      <c r="A972" s="14"/>
      <c r="B972" s="1"/>
      <c r="C972" s="1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</row>
    <row r="973" spans="1:38" ht="14.4">
      <c r="A973" s="14"/>
      <c r="B973" s="1"/>
      <c r="C973" s="1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</row>
    <row r="974" spans="1:38" ht="14.4">
      <c r="A974" s="14"/>
      <c r="B974" s="1"/>
      <c r="C974" s="1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</row>
    <row r="975" spans="1:38" ht="14.4">
      <c r="A975" s="14"/>
      <c r="B975" s="1"/>
      <c r="C975" s="1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</row>
    <row r="976" spans="1:38" ht="14.4">
      <c r="A976" s="14"/>
      <c r="B976" s="1"/>
      <c r="C976" s="1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</row>
    <row r="977" spans="1:38" ht="14.4">
      <c r="A977" s="14"/>
      <c r="B977" s="1"/>
      <c r="C977" s="1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</row>
    <row r="978" spans="1:38" ht="14.4">
      <c r="A978" s="14"/>
      <c r="B978" s="1"/>
      <c r="C978" s="1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</row>
    <row r="979" spans="1:38" ht="14.4">
      <c r="A979" s="14"/>
      <c r="B979" s="1"/>
      <c r="C979" s="1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</row>
    <row r="980" spans="1:38" ht="14.4">
      <c r="A980" s="14"/>
      <c r="B980" s="1"/>
      <c r="C980" s="1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</row>
    <row r="981" spans="1:38" ht="14.4">
      <c r="A981" s="14"/>
      <c r="B981" s="1"/>
      <c r="C981" s="1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</row>
    <row r="982" spans="1:38" ht="14.4">
      <c r="A982" s="14"/>
      <c r="B982" s="1"/>
      <c r="C982" s="1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</row>
    <row r="983" spans="1:38" ht="14.4">
      <c r="A983" s="14"/>
      <c r="B983" s="1"/>
      <c r="C983" s="1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</row>
    <row r="984" spans="1:38" ht="14.4">
      <c r="A984" s="14"/>
      <c r="B984" s="1"/>
      <c r="C984" s="1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</row>
    <row r="985" spans="1:38" ht="14.4">
      <c r="A985" s="14"/>
      <c r="B985" s="1"/>
      <c r="C985" s="1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</row>
    <row r="986" spans="1:38" ht="14.4">
      <c r="A986" s="14"/>
      <c r="B986" s="1"/>
      <c r="C986" s="1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</row>
    <row r="987" spans="1:38" ht="14.4">
      <c r="A987" s="14"/>
      <c r="B987" s="1"/>
      <c r="C987" s="1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</row>
    <row r="988" spans="1:38" ht="14.4">
      <c r="A988" s="14"/>
      <c r="B988" s="1"/>
      <c r="C988" s="1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</row>
    <row r="989" spans="1:38" ht="14.4">
      <c r="A989" s="14"/>
      <c r="B989" s="1"/>
      <c r="C989" s="1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</row>
    <row r="990" spans="1:38" ht="14.4">
      <c r="A990" s="14"/>
      <c r="B990" s="1"/>
      <c r="C990" s="1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</row>
    <row r="991" spans="1:38" ht="14.4">
      <c r="A991" s="14"/>
      <c r="B991" s="1"/>
      <c r="C991" s="1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</row>
    <row r="992" spans="1:38" ht="14.4">
      <c r="A992" s="14"/>
      <c r="B992" s="1"/>
      <c r="C992" s="1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</row>
    <row r="993" spans="1:38" ht="14.4">
      <c r="A993" s="14"/>
      <c r="B993" s="1"/>
      <c r="C993" s="1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</row>
    <row r="994" spans="1:38" ht="14.4">
      <c r="A994" s="14"/>
      <c r="B994" s="1"/>
      <c r="C994" s="1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</row>
    <row r="995" spans="1:38" ht="14.4">
      <c r="A995" s="14"/>
      <c r="B995" s="1"/>
      <c r="C995" s="1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</row>
    <row r="996" spans="1:38" ht="14.4">
      <c r="A996" s="14"/>
      <c r="B996" s="1"/>
      <c r="C996" s="1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</row>
    <row r="997" spans="1:38" ht="14.4">
      <c r="A997" s="14"/>
      <c r="B997" s="1"/>
      <c r="C997" s="1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</row>
    <row r="998" spans="1:38" ht="14.4">
      <c r="A998" s="14"/>
      <c r="B998" s="1"/>
      <c r="C998" s="1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</row>
    <row r="999" spans="1:38" ht="14.4">
      <c r="A999" s="14"/>
      <c r="B999" s="1"/>
      <c r="C999" s="1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</row>
    <row r="1000" spans="1:38" ht="14.4">
      <c r="A1000" s="14"/>
      <c r="B1000" s="1"/>
      <c r="C1000" s="1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</row>
  </sheetData>
  <mergeCells count="29">
    <mergeCell ref="C2:E4"/>
    <mergeCell ref="I2:J2"/>
    <mergeCell ref="K2:M2"/>
    <mergeCell ref="I3:J3"/>
    <mergeCell ref="K3:M3"/>
    <mergeCell ref="I4:J4"/>
    <mergeCell ref="K4:M4"/>
    <mergeCell ref="C5:E5"/>
    <mergeCell ref="C7:E7"/>
    <mergeCell ref="I7:M7"/>
    <mergeCell ref="C8:E8"/>
    <mergeCell ref="C9:E9"/>
    <mergeCell ref="I9:J9"/>
    <mergeCell ref="K9:M9"/>
    <mergeCell ref="H41:K41"/>
    <mergeCell ref="H42:K42"/>
    <mergeCell ref="B59:C59"/>
    <mergeCell ref="L42:O42"/>
    <mergeCell ref="P42:R42"/>
    <mergeCell ref="H43:K43"/>
    <mergeCell ref="L43:O43"/>
    <mergeCell ref="F40:G41"/>
    <mergeCell ref="H40:K40"/>
    <mergeCell ref="L40:O40"/>
    <mergeCell ref="P40:R40"/>
    <mergeCell ref="L41:O41"/>
    <mergeCell ref="P41:R41"/>
    <mergeCell ref="F42:G43"/>
    <mergeCell ref="P43:R43"/>
  </mergeCells>
  <conditionalFormatting sqref="C14:C28">
    <cfRule type="containsText" dxfId="3" priority="1" operator="containsText" text="#N/A">
      <formula>NOT(ISERROR(SEARCH(("#N/A"),(C14))))</formula>
    </cfRule>
  </conditionalFormatting>
  <conditionalFormatting sqref="C14:C28">
    <cfRule type="containsText" dxfId="2" priority="2" operator="containsText" text="N/A">
      <formula>NOT(ISERROR(SEARCH(("N/A"),(C14))))</formula>
    </cfRule>
  </conditionalFormatting>
  <conditionalFormatting sqref="F14:AJ28">
    <cfRule type="expression" dxfId="1" priority="3">
      <formula>IF($C$8="Monday-Friday",WEEKDAY(F$13,2)&gt;5,WEEKDAY(F$13,1)&gt;5)</formula>
    </cfRule>
  </conditionalFormatting>
  <conditionalFormatting sqref="F32:AJ35">
    <cfRule type="expression" dxfId="0" priority="4">
      <formula>IF($C$8="Monday-Friday",WEEKDAY(F$13,2)&gt;5,WEEKDAY(F$13,1)&gt;5)</formula>
    </cfRule>
  </conditionalFormatting>
  <dataValidations count="2">
    <dataValidation type="list" allowBlank="1" showErrorMessage="1" sqref="D14:D28" xr:uid="{00000000-0002-0000-0000-000000000000}">
      <formula1>$C$10:$E$10</formula1>
    </dataValidation>
    <dataValidation type="decimal" allowBlank="1" showInputMessage="1" showErrorMessage="1" prompt="Data input instruction - Please insert a number between 0.5 and 24. Decimal numbers rounded to closest 0.5 hours are permitted." sqref="F14:AJ28 F32:AJ35" xr:uid="{00000000-0002-0000-0000-000001000000}">
      <formula1>0.5</formula1>
      <formula2>24</formula2>
    </dataValidation>
  </dataValidations>
  <pageMargins left="0.25" right="0.25" top="0.75" bottom="0.75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Please select contract code from dropdown menu" xr:uid="{00000000-0002-0000-0000-000002000000}">
          <x14:formula1>
            <xm:f>'Restricted 2 - available prjcts'!$A$2:$A$29</xm:f>
          </x14:formula1>
          <xm:sqref>B14:B28</xm:sqref>
        </x14:dataValidation>
        <x14:dataValidation type="list" allowBlank="1" showInputMessage="1" showErrorMessage="1" prompt="Click and enter a value from range" xr:uid="{00000000-0002-0000-0000-000003000000}">
          <x14:formula1>
            <xm:f>'Restricted - not in use'!$A$5:$A$102</xm:f>
          </x14:formula1>
          <xm:sqref>C7</xm:sqref>
        </x14:dataValidation>
        <x14:dataValidation type="list" allowBlank="1" showInputMessage="1" showErrorMessage="1" prompt="Data input instruction - Please select your workweek schedule between Monday-Friday and Sunday-Thursday" xr:uid="{00000000-0002-0000-0000-000004000000}">
          <x14:formula1>
            <xm:f>'Restricted - not in use'!$E$5:$E$6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27.88671875" customWidth="1"/>
    <col min="2" max="2" width="9.109375" customWidth="1"/>
    <col min="3" max="4" width="22.44140625" customWidth="1"/>
    <col min="5" max="5" width="30" customWidth="1"/>
    <col min="6" max="6" width="31.109375" customWidth="1"/>
    <col min="7" max="7" width="41.44140625" customWidth="1"/>
    <col min="8" max="26" width="9.109375" customWidth="1"/>
  </cols>
  <sheetData>
    <row r="1" spans="1:26" ht="14.25" customHeight="1">
      <c r="A1" s="50" t="s">
        <v>35</v>
      </c>
      <c r="B1" s="50"/>
      <c r="C1" s="50" t="s">
        <v>36</v>
      </c>
      <c r="D1" s="50" t="s">
        <v>37</v>
      </c>
      <c r="E1" s="50" t="s">
        <v>8</v>
      </c>
      <c r="F1" s="50" t="s">
        <v>38</v>
      </c>
      <c r="G1" s="50" t="s">
        <v>39</v>
      </c>
      <c r="H1" s="50" t="s">
        <v>40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4.2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4.2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4.2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4.25" customHeight="1">
      <c r="A5" s="51">
        <v>45658</v>
      </c>
      <c r="B5" s="1"/>
      <c r="C5" s="1" t="s">
        <v>41</v>
      </c>
      <c r="D5" s="1"/>
      <c r="E5" s="1" t="s">
        <v>9</v>
      </c>
      <c r="F5" s="1" t="s">
        <v>42</v>
      </c>
      <c r="G5" s="1" t="s">
        <v>43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51">
        <v>45689</v>
      </c>
      <c r="B6" s="1"/>
      <c r="C6" s="1" t="s">
        <v>44</v>
      </c>
      <c r="D6" s="1"/>
      <c r="E6" s="1" t="s">
        <v>45</v>
      </c>
      <c r="F6" s="1" t="s">
        <v>46</v>
      </c>
      <c r="G6" s="1" t="s">
        <v>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1">
        <v>45717</v>
      </c>
      <c r="B7" s="1"/>
      <c r="C7" s="1" t="s">
        <v>47</v>
      </c>
      <c r="D7" s="1"/>
      <c r="E7" s="1"/>
      <c r="F7" s="1" t="s">
        <v>48</v>
      </c>
      <c r="G7" s="1" t="s">
        <v>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51">
        <v>45748</v>
      </c>
      <c r="B8" s="1"/>
      <c r="C8" s="1" t="s">
        <v>50</v>
      </c>
      <c r="D8" s="1"/>
      <c r="E8" s="1"/>
      <c r="F8" s="1" t="s">
        <v>51</v>
      </c>
      <c r="G8" s="1" t="s">
        <v>49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51">
        <v>45778</v>
      </c>
      <c r="B9" s="1"/>
      <c r="C9" s="1" t="s">
        <v>52</v>
      </c>
      <c r="D9" s="1"/>
      <c r="E9" s="1"/>
      <c r="F9" s="1" t="s">
        <v>53</v>
      </c>
      <c r="G9" s="1" t="s">
        <v>43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51">
        <v>45809</v>
      </c>
      <c r="B10" s="1"/>
      <c r="C10" s="1" t="s">
        <v>54</v>
      </c>
      <c r="D10" s="1"/>
      <c r="E10" s="1"/>
      <c r="F10" s="1"/>
      <c r="G10" s="5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51">
        <v>45839</v>
      </c>
      <c r="B11" s="1"/>
      <c r="C11" s="1" t="s">
        <v>55</v>
      </c>
      <c r="D11" s="1"/>
      <c r="E11" s="1"/>
      <c r="F11" s="1" t="s">
        <v>56</v>
      </c>
      <c r="G11" s="52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51">
        <v>45870</v>
      </c>
      <c r="B12" s="1"/>
      <c r="C12" s="1" t="s">
        <v>58</v>
      </c>
      <c r="D12" s="1"/>
      <c r="E12" s="1"/>
      <c r="F12" s="1" t="s">
        <v>59</v>
      </c>
      <c r="G12" s="52" t="s">
        <v>60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51">
        <v>45901</v>
      </c>
      <c r="B13" s="1"/>
      <c r="C13" s="1" t="s">
        <v>61</v>
      </c>
      <c r="D13" s="1"/>
      <c r="E13" s="1"/>
      <c r="F13" s="1" t="s">
        <v>62</v>
      </c>
      <c r="G13" s="1" t="s">
        <v>49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51">
        <v>45931</v>
      </c>
      <c r="B14" s="1"/>
      <c r="C14" s="1" t="s">
        <v>63</v>
      </c>
      <c r="D14" s="1"/>
      <c r="E14" s="1"/>
      <c r="F14" s="1" t="s">
        <v>64</v>
      </c>
      <c r="G14" s="1" t="s">
        <v>49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51">
        <v>45962</v>
      </c>
      <c r="B15" s="1"/>
      <c r="C15" s="1" t="s">
        <v>65</v>
      </c>
      <c r="D15" s="1"/>
      <c r="E15" s="1"/>
      <c r="F15" s="1" t="s">
        <v>66</v>
      </c>
      <c r="G15" s="1" t="s">
        <v>48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51">
        <v>45992</v>
      </c>
      <c r="B16" s="1"/>
      <c r="C16" s="1" t="s">
        <v>67</v>
      </c>
      <c r="D16" s="1"/>
      <c r="E16" s="1"/>
      <c r="F16" s="1" t="s">
        <v>68</v>
      </c>
      <c r="G16" s="1" t="s">
        <v>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51">
        <v>46023</v>
      </c>
      <c r="B17" s="1"/>
      <c r="C17" s="1" t="s">
        <v>69</v>
      </c>
      <c r="D17" s="1"/>
      <c r="E17" s="1"/>
      <c r="F17" s="1" t="s">
        <v>70</v>
      </c>
      <c r="G17" s="1" t="s">
        <v>49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51">
        <v>46054</v>
      </c>
      <c r="B18" s="1"/>
      <c r="C18" s="1" t="s">
        <v>71</v>
      </c>
      <c r="D18" s="1"/>
      <c r="E18" s="1"/>
      <c r="F18" s="1" t="s">
        <v>72</v>
      </c>
      <c r="G18" s="52" t="s">
        <v>73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51">
        <v>46082</v>
      </c>
      <c r="B19" s="1"/>
      <c r="C19" s="1" t="s">
        <v>74</v>
      </c>
      <c r="D19" s="1"/>
      <c r="E19" s="1"/>
      <c r="F19" s="1" t="s">
        <v>75</v>
      </c>
      <c r="G19" s="1" t="s">
        <v>49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51">
        <v>46113</v>
      </c>
      <c r="B20" s="1"/>
      <c r="C20" s="1" t="s">
        <v>76</v>
      </c>
      <c r="D20" s="1"/>
      <c r="E20" s="1"/>
      <c r="F20" s="1" t="s">
        <v>77</v>
      </c>
      <c r="G20" s="1" t="s">
        <v>48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51">
        <v>46143</v>
      </c>
      <c r="B21" s="1"/>
      <c r="C21" s="1" t="s">
        <v>78</v>
      </c>
      <c r="D21" s="1"/>
      <c r="E21" s="1"/>
      <c r="F21" s="1" t="s">
        <v>79</v>
      </c>
      <c r="G21" s="1" t="s">
        <v>48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51">
        <v>46174</v>
      </c>
      <c r="B22" s="1"/>
      <c r="C22" s="1" t="s">
        <v>80</v>
      </c>
      <c r="D22" s="1"/>
      <c r="E22" s="1"/>
      <c r="F22" s="1" t="s">
        <v>81</v>
      </c>
      <c r="G22" s="1" t="s">
        <v>49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51">
        <v>46204</v>
      </c>
      <c r="B23" s="1"/>
      <c r="C23" s="1" t="s">
        <v>82</v>
      </c>
      <c r="D23" s="1"/>
      <c r="E23" s="1"/>
      <c r="F23" s="1"/>
      <c r="G23" s="5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51">
        <v>46235</v>
      </c>
      <c r="B24" s="1"/>
      <c r="C24" s="1" t="s">
        <v>83</v>
      </c>
      <c r="D24" s="1"/>
      <c r="E24" s="1"/>
      <c r="F24" s="1" t="s">
        <v>84</v>
      </c>
      <c r="G24" s="52" t="s">
        <v>85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51">
        <v>46266</v>
      </c>
      <c r="B25" s="1"/>
      <c r="C25" s="1" t="s">
        <v>86</v>
      </c>
      <c r="D25" s="1"/>
      <c r="E25" s="1"/>
      <c r="F25" s="1" t="s">
        <v>87</v>
      </c>
      <c r="G25" s="1" t="s">
        <v>88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51">
        <v>46296</v>
      </c>
      <c r="B26" s="1"/>
      <c r="C26" s="1" t="s">
        <v>89</v>
      </c>
      <c r="D26" s="1"/>
      <c r="E26" s="1"/>
      <c r="F26" s="1" t="s">
        <v>90</v>
      </c>
      <c r="G26" s="1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51">
        <v>46327</v>
      </c>
      <c r="B27" s="1"/>
      <c r="C27" s="1" t="s">
        <v>91</v>
      </c>
      <c r="D27" s="1"/>
      <c r="E27" s="1"/>
      <c r="F27" s="1" t="s">
        <v>92</v>
      </c>
      <c r="G27" s="1" t="s">
        <v>88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51">
        <v>46357</v>
      </c>
      <c r="B28" s="1"/>
      <c r="C28" s="1" t="s">
        <v>93</v>
      </c>
      <c r="D28" s="1"/>
      <c r="E28" s="1"/>
      <c r="F28" s="1" t="s">
        <v>94</v>
      </c>
      <c r="G28" s="52" t="s">
        <v>95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51">
        <v>46388</v>
      </c>
      <c r="B29" s="1"/>
      <c r="C29" s="1" t="s">
        <v>96</v>
      </c>
      <c r="D29" s="1"/>
      <c r="E29" s="1"/>
      <c r="F29" s="1" t="s">
        <v>97</v>
      </c>
      <c r="G29" s="1" t="s">
        <v>98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51">
        <v>46419</v>
      </c>
      <c r="B30" s="1"/>
      <c r="C30" s="1" t="s">
        <v>99</v>
      </c>
      <c r="D30" s="1"/>
      <c r="E30" s="1"/>
      <c r="F30" s="1" t="s">
        <v>100</v>
      </c>
      <c r="G30" s="1" t="s">
        <v>48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51">
        <v>46447</v>
      </c>
      <c r="B31" s="1"/>
      <c r="C31" s="1" t="s">
        <v>101</v>
      </c>
      <c r="D31" s="1"/>
      <c r="E31" s="1"/>
      <c r="F31" s="1" t="s">
        <v>102</v>
      </c>
      <c r="G31" s="1" t="s">
        <v>48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51">
        <v>46478</v>
      </c>
      <c r="B32" s="1"/>
      <c r="C32" s="1" t="s">
        <v>103</v>
      </c>
      <c r="D32" s="1"/>
      <c r="E32" s="1"/>
      <c r="F32" s="1" t="s">
        <v>104</v>
      </c>
      <c r="G32" s="52" t="s">
        <v>105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51">
        <v>46508</v>
      </c>
      <c r="B33" s="1"/>
      <c r="C33" s="1" t="s">
        <v>106</v>
      </c>
      <c r="D33" s="1"/>
      <c r="E33" s="1"/>
      <c r="F33" s="1" t="s">
        <v>107</v>
      </c>
      <c r="G33" s="1" t="s">
        <v>108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51">
        <v>46539</v>
      </c>
      <c r="B34" s="1"/>
      <c r="C34" s="1" t="s">
        <v>109</v>
      </c>
      <c r="D34" s="1"/>
      <c r="E34" s="1"/>
      <c r="F34" s="1" t="s">
        <v>110</v>
      </c>
      <c r="G34" s="1" t="s">
        <v>111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51">
        <v>46569</v>
      </c>
      <c r="B35" s="1"/>
      <c r="C35" s="1" t="s">
        <v>112</v>
      </c>
      <c r="D35" s="1"/>
      <c r="E35" s="1"/>
      <c r="F35" s="1" t="s">
        <v>113</v>
      </c>
      <c r="G35" s="1" t="s">
        <v>114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51">
        <v>46600</v>
      </c>
      <c r="B36" s="1"/>
      <c r="C36" s="1" t="s">
        <v>115</v>
      </c>
      <c r="D36" s="1"/>
      <c r="E36" s="1"/>
      <c r="F36" s="1" t="s">
        <v>116</v>
      </c>
      <c r="G36" s="52" t="s">
        <v>117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51">
        <v>46631</v>
      </c>
      <c r="B37" s="1"/>
      <c r="C37" s="1" t="s">
        <v>118</v>
      </c>
      <c r="D37" s="1"/>
      <c r="E37" s="1"/>
      <c r="F37" s="1" t="s">
        <v>116</v>
      </c>
      <c r="G37" s="52" t="s">
        <v>117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51">
        <v>46661</v>
      </c>
      <c r="B38" s="1"/>
      <c r="C38" s="1" t="s">
        <v>119</v>
      </c>
      <c r="D38" s="1"/>
      <c r="E38" s="1"/>
      <c r="F38" s="1" t="s">
        <v>120</v>
      </c>
      <c r="G38" s="1" t="s">
        <v>49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51">
        <v>46692</v>
      </c>
      <c r="B39" s="1"/>
      <c r="C39" s="1" t="s">
        <v>121</v>
      </c>
      <c r="D39" s="1"/>
      <c r="E39" s="1"/>
      <c r="F39" s="1" t="s">
        <v>122</v>
      </c>
      <c r="G39" s="1" t="s">
        <v>49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51">
        <v>46722</v>
      </c>
      <c r="B40" s="1"/>
      <c r="C40" s="1" t="s">
        <v>123</v>
      </c>
      <c r="D40" s="1"/>
      <c r="E40" s="1"/>
      <c r="F40" s="1" t="s">
        <v>124</v>
      </c>
      <c r="G40" s="52" t="s">
        <v>125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51">
        <v>46753</v>
      </c>
      <c r="B41" s="1"/>
      <c r="C41" s="1" t="s">
        <v>126</v>
      </c>
      <c r="D41" s="1"/>
      <c r="E41" s="1"/>
      <c r="F41" s="1" t="s">
        <v>127</v>
      </c>
      <c r="G41" s="1" t="s">
        <v>43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51">
        <v>46784</v>
      </c>
      <c r="B42" s="1"/>
      <c r="C42" s="1" t="s">
        <v>128</v>
      </c>
      <c r="D42" s="1"/>
      <c r="E42" s="1"/>
      <c r="F42" s="1" t="s">
        <v>129</v>
      </c>
      <c r="G42" s="52" t="s">
        <v>85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51">
        <v>46813</v>
      </c>
      <c r="B43" s="1"/>
      <c r="C43" s="1" t="s">
        <v>130</v>
      </c>
      <c r="D43" s="1"/>
      <c r="E43" s="1"/>
      <c r="F43" s="1" t="s">
        <v>131</v>
      </c>
      <c r="G43" s="1" t="s">
        <v>43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51">
        <v>46844</v>
      </c>
      <c r="B44" s="1"/>
      <c r="C44" s="1" t="s">
        <v>132</v>
      </c>
      <c r="D44" s="1"/>
      <c r="E44" s="1"/>
      <c r="F44" s="1" t="s">
        <v>133</v>
      </c>
      <c r="G44" s="52" t="s">
        <v>125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51">
        <v>46874</v>
      </c>
      <c r="B45" s="1"/>
      <c r="C45" s="1" t="s">
        <v>134</v>
      </c>
      <c r="D45" s="1"/>
      <c r="E45" s="1"/>
      <c r="F45" s="1" t="s">
        <v>135</v>
      </c>
      <c r="G45" s="52" t="s">
        <v>136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51">
        <v>46905</v>
      </c>
      <c r="B46" s="1"/>
      <c r="C46" s="1" t="s">
        <v>137</v>
      </c>
      <c r="D46" s="1"/>
      <c r="E46" s="1"/>
      <c r="F46" s="1" t="s">
        <v>138</v>
      </c>
      <c r="G46" s="1" t="s">
        <v>139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51">
        <v>46935</v>
      </c>
      <c r="B47" s="1"/>
      <c r="C47" s="1" t="s">
        <v>140</v>
      </c>
      <c r="D47" s="1"/>
      <c r="E47" s="1"/>
      <c r="F47" s="1" t="s">
        <v>141</v>
      </c>
      <c r="G47" s="52" t="s">
        <v>142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51">
        <v>46966</v>
      </c>
      <c r="B48" s="1"/>
      <c r="C48" s="1" t="s">
        <v>143</v>
      </c>
      <c r="D48" s="1"/>
      <c r="E48" s="1"/>
      <c r="F48" s="1" t="s">
        <v>144</v>
      </c>
      <c r="G48" s="52" t="s">
        <v>145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51">
        <v>46997</v>
      </c>
      <c r="B49" s="1"/>
      <c r="C49" s="1" t="s">
        <v>146</v>
      </c>
      <c r="D49" s="1"/>
      <c r="E49" s="1"/>
      <c r="F49" s="1" t="s">
        <v>147</v>
      </c>
      <c r="G49" s="1" t="s">
        <v>148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51">
        <v>47027</v>
      </c>
      <c r="B50" s="1"/>
      <c r="C50" s="1" t="s">
        <v>149</v>
      </c>
      <c r="D50" s="1"/>
      <c r="E50" s="1"/>
      <c r="F50" s="1" t="s">
        <v>150</v>
      </c>
      <c r="G50" s="52" t="s">
        <v>151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51">
        <v>47058</v>
      </c>
      <c r="B51" s="1"/>
      <c r="C51" s="1" t="s">
        <v>152</v>
      </c>
      <c r="D51" s="1"/>
      <c r="E51" s="1"/>
      <c r="F51" s="1" t="s">
        <v>153</v>
      </c>
      <c r="G51" s="52" t="s">
        <v>154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51">
        <v>47088</v>
      </c>
      <c r="B52" s="1"/>
      <c r="C52" s="1" t="s">
        <v>155</v>
      </c>
      <c r="D52" s="1"/>
      <c r="E52" s="1"/>
      <c r="F52" s="1" t="s">
        <v>156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51">
        <v>47119</v>
      </c>
      <c r="B53" s="1"/>
      <c r="C53" s="1" t="s">
        <v>157</v>
      </c>
      <c r="D53" s="1"/>
      <c r="E53" s="1"/>
      <c r="F53" s="1" t="s">
        <v>158</v>
      </c>
      <c r="G53" s="1" t="s">
        <v>108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51">
        <v>47150</v>
      </c>
      <c r="B54" s="1"/>
      <c r="C54" s="1" t="s">
        <v>159</v>
      </c>
      <c r="D54" s="1"/>
      <c r="E54" s="1"/>
      <c r="F54" s="1" t="s">
        <v>160</v>
      </c>
      <c r="G54" s="52" t="s">
        <v>161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51">
        <v>47178</v>
      </c>
      <c r="B55" s="1"/>
      <c r="C55" s="1" t="s">
        <v>162</v>
      </c>
      <c r="D55" s="1"/>
      <c r="E55" s="1"/>
      <c r="F55" s="1" t="s">
        <v>163</v>
      </c>
      <c r="G55" s="1" t="s">
        <v>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51">
        <v>47209</v>
      </c>
      <c r="B56" s="1"/>
      <c r="C56" s="1" t="s">
        <v>164</v>
      </c>
      <c r="D56" s="1"/>
      <c r="E56" s="1"/>
      <c r="F56" s="1" t="s">
        <v>165</v>
      </c>
      <c r="G56" s="1" t="s">
        <v>64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51">
        <v>47239</v>
      </c>
      <c r="B57" s="1"/>
      <c r="C57" s="1" t="s">
        <v>166</v>
      </c>
      <c r="D57" s="1"/>
      <c r="E57" s="1"/>
      <c r="F57" s="1" t="s">
        <v>167</v>
      </c>
      <c r="G57" s="1" t="s">
        <v>64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51">
        <v>47270</v>
      </c>
      <c r="B58" s="1"/>
      <c r="C58" s="1" t="s">
        <v>168</v>
      </c>
      <c r="D58" s="1"/>
      <c r="E58" s="1"/>
      <c r="F58" s="1" t="s">
        <v>169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51">
        <v>47300</v>
      </c>
      <c r="B59" s="1"/>
      <c r="C59" s="1" t="s">
        <v>170</v>
      </c>
      <c r="D59" s="1"/>
      <c r="E59" s="1"/>
      <c r="F59" s="1" t="s">
        <v>171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51">
        <v>47331</v>
      </c>
      <c r="B60" s="1"/>
      <c r="C60" s="1" t="s">
        <v>172</v>
      </c>
      <c r="D60" s="1"/>
      <c r="E60" s="1"/>
      <c r="F60" s="1" t="s">
        <v>173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51">
        <v>47362</v>
      </c>
      <c r="B61" s="1"/>
      <c r="C61" s="1" t="s">
        <v>174</v>
      </c>
      <c r="D61" s="1"/>
      <c r="E61" s="1"/>
      <c r="F61" s="1" t="s">
        <v>175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51">
        <v>47392</v>
      </c>
      <c r="B62" s="1"/>
      <c r="C62" s="1" t="s">
        <v>176</v>
      </c>
      <c r="D62" s="1"/>
      <c r="E62" s="1"/>
      <c r="F62" s="1" t="s">
        <v>177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51">
        <v>47423</v>
      </c>
      <c r="B63" s="1"/>
      <c r="C63" s="1" t="s">
        <v>178</v>
      </c>
      <c r="D63" s="1"/>
      <c r="E63" s="1"/>
      <c r="F63" s="1" t="s">
        <v>179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51">
        <v>47453</v>
      </c>
      <c r="B64" s="1"/>
      <c r="C64" s="1" t="s">
        <v>180</v>
      </c>
      <c r="D64" s="1"/>
      <c r="E64" s="1"/>
      <c r="F64" s="1" t="s">
        <v>171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51">
        <v>47484</v>
      </c>
      <c r="B65" s="1"/>
      <c r="C65" s="1" t="s">
        <v>181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51">
        <v>47515</v>
      </c>
      <c r="B66" s="1"/>
      <c r="C66" s="1" t="s">
        <v>182</v>
      </c>
      <c r="D66" s="1"/>
      <c r="E66" s="1"/>
      <c r="F66" s="1" t="s">
        <v>88</v>
      </c>
      <c r="G66" s="1" t="s">
        <v>49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51">
        <v>47543</v>
      </c>
      <c r="B67" s="1"/>
      <c r="C67" s="1" t="s">
        <v>183</v>
      </c>
      <c r="D67" s="1"/>
      <c r="E67" s="1"/>
      <c r="F67" s="1" t="s">
        <v>184</v>
      </c>
      <c r="G67" s="52" t="s">
        <v>185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51">
        <v>47574</v>
      </c>
      <c r="B68" s="1"/>
      <c r="C68" s="1" t="s">
        <v>186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51">
        <v>47604</v>
      </c>
      <c r="B69" s="1"/>
      <c r="C69" s="1" t="s">
        <v>187</v>
      </c>
      <c r="D69" s="1"/>
      <c r="E69" s="1"/>
      <c r="F69" s="1" t="s">
        <v>188</v>
      </c>
      <c r="G69" s="1" t="s">
        <v>135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51">
        <v>47635</v>
      </c>
      <c r="B70" s="1"/>
      <c r="C70" s="1" t="s">
        <v>189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51">
        <v>47665</v>
      </c>
      <c r="B71" s="1"/>
      <c r="C71" s="1" t="s">
        <v>190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51">
        <v>47696</v>
      </c>
      <c r="B72" s="1"/>
      <c r="C72" s="1" t="s">
        <v>191</v>
      </c>
      <c r="D72" s="1"/>
      <c r="E72" s="1"/>
      <c r="F72" s="1" t="s">
        <v>192</v>
      </c>
      <c r="G72" s="1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51">
        <v>47727</v>
      </c>
      <c r="B73" s="1"/>
      <c r="C73" s="1" t="s">
        <v>193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B74" s="1"/>
      <c r="C74" s="1" t="s">
        <v>194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B75" s="1"/>
      <c r="C75" s="1" t="s">
        <v>195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B76" s="1"/>
      <c r="C76" s="1" t="s">
        <v>196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B77" s="1"/>
      <c r="C77" s="1" t="s">
        <v>197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B78" s="1"/>
      <c r="C78" s="1" t="s">
        <v>198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B79" s="1"/>
      <c r="C79" s="1" t="s">
        <v>199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B80" s="1"/>
      <c r="C80" s="1" t="s">
        <v>200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ht="14.25" customHeight="1">
      <c r="B81" s="1"/>
      <c r="C81" s="1" t="s">
        <v>201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ht="14.25" customHeight="1">
      <c r="B82" s="1"/>
      <c r="C82" s="1" t="s">
        <v>202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ht="14.25" customHeight="1">
      <c r="B83" s="1"/>
      <c r="C83" s="1" t="s">
        <v>203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ht="14.25" customHeight="1">
      <c r="B84" s="1"/>
      <c r="C84" s="1" t="s">
        <v>204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ht="14.25" customHeight="1">
      <c r="B85" s="1"/>
      <c r="C85" s="1" t="s">
        <v>205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ht="14.25" customHeight="1">
      <c r="B86" s="1"/>
      <c r="C86" s="1" t="s">
        <v>206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ht="14.25" customHeight="1">
      <c r="B87" s="1"/>
      <c r="C87" s="1" t="s">
        <v>207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ht="14.25" customHeight="1">
      <c r="B88" s="1"/>
      <c r="C88" s="1" t="s">
        <v>208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ht="14.25" customHeight="1">
      <c r="B89" s="1"/>
      <c r="C89" s="1" t="s">
        <v>209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ht="14.25" customHeight="1">
      <c r="B90" s="1"/>
      <c r="C90" s="1" t="s">
        <v>210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ht="14.25" customHeight="1">
      <c r="B91" s="1"/>
      <c r="C91" s="1" t="s">
        <v>211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ht="14.25" customHeight="1">
      <c r="B92" s="1"/>
      <c r="C92" s="1" t="s">
        <v>212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ht="14.25" customHeight="1">
      <c r="B93" s="1"/>
      <c r="C93" s="1" t="s">
        <v>213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ht="14.25" customHeight="1">
      <c r="B94" s="1"/>
      <c r="C94" s="1" t="s">
        <v>214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ht="14.25" customHeight="1">
      <c r="B95" s="1"/>
      <c r="C95" s="1" t="s">
        <v>215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ht="14.25" customHeight="1">
      <c r="B96" s="1"/>
      <c r="C96" s="1" t="s">
        <v>216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B97" s="1"/>
      <c r="C97" s="1" t="s">
        <v>217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B98" s="1"/>
      <c r="C98" s="1" t="s">
        <v>218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 t="s">
        <v>219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 t="s">
        <v>220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 t="s">
        <v>221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 t="s">
        <v>222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 t="s">
        <v>223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 t="s">
        <v>224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 t="s">
        <v>225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 t="s">
        <v>226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 t="s">
        <v>227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 t="s">
        <v>228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 t="s">
        <v>229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 t="s">
        <v>230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 t="s">
        <v>231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 t="s">
        <v>232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 t="s">
        <v>233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 t="s">
        <v>234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 t="s">
        <v>235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 t="s">
        <v>236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 t="s">
        <v>237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 t="s">
        <v>238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 t="s">
        <v>239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 t="s">
        <v>240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 t="s">
        <v>241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 t="s">
        <v>242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 t="s">
        <v>243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 t="s">
        <v>244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 t="s">
        <v>245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 t="s">
        <v>246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 t="s">
        <v>247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 t="s">
        <v>248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 t="s">
        <v>249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 t="s">
        <v>250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 t="s">
        <v>251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 t="s">
        <v>252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 t="s">
        <v>253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 t="s">
        <v>254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 t="s">
        <v>255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 t="s">
        <v>256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 t="s">
        <v>257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 t="s">
        <v>258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 t="s">
        <v>259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 t="s">
        <v>260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 t="s">
        <v>261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 t="s">
        <v>262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 t="s">
        <v>263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 t="s">
        <v>264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 t="s">
        <v>265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 t="s">
        <v>266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 t="s">
        <v>267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 t="s">
        <v>268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 t="s">
        <v>269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 t="s">
        <v>270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 t="s">
        <v>271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 t="s">
        <v>272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 t="s">
        <v>273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 t="s">
        <v>274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 t="s">
        <v>275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 t="s">
        <v>276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 t="s">
        <v>277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 t="s">
        <v>278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 t="s">
        <v>279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 t="s">
        <v>280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 t="s">
        <v>281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 t="s">
        <v>282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 t="s">
        <v>283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 t="s">
        <v>284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 t="s">
        <v>285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 t="s">
        <v>286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 t="s">
        <v>287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 t="s">
        <v>288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 t="s">
        <v>289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 t="s">
        <v>290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 t="s">
        <v>291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 t="s">
        <v>292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 t="s">
        <v>293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 t="s">
        <v>294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 t="s">
        <v>295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 t="s">
        <v>296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 t="s">
        <v>297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 t="s">
        <v>298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 t="s">
        <v>299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 t="s">
        <v>300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 t="s">
        <v>301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 t="s">
        <v>302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 t="s">
        <v>303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 t="s">
        <v>304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 t="s">
        <v>305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 t="s">
        <v>306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 t="s">
        <v>307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 t="s">
        <v>308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 t="s">
        <v>309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 t="s">
        <v>310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 t="s">
        <v>311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 t="s">
        <v>312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 t="s">
        <v>313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 t="s">
        <v>314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 t="s">
        <v>315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 t="s">
        <v>316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 t="s">
        <v>317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 t="s">
        <v>318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 t="s">
        <v>319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 t="s">
        <v>320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 t="s">
        <v>321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 t="s">
        <v>322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 t="s">
        <v>323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 t="s">
        <v>324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 t="s">
        <v>325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 t="s">
        <v>326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 t="s">
        <v>327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 t="s">
        <v>328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 t="s">
        <v>329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 t="s">
        <v>330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 t="s">
        <v>331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 t="s">
        <v>332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 t="s">
        <v>333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 t="s">
        <v>334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 t="s">
        <v>335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 t="s">
        <v>336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 t="s">
        <v>337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 t="s">
        <v>338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 t="s">
        <v>339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 t="s">
        <v>340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 t="s">
        <v>341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 t="s">
        <v>342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 t="s">
        <v>343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 t="s">
        <v>344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 t="s">
        <v>345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 t="s">
        <v>346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 t="s">
        <v>347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 t="s">
        <v>348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 t="s">
        <v>349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 t="s">
        <v>350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 t="s">
        <v>351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 t="s">
        <v>352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 t="s">
        <v>353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 t="s">
        <v>354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 t="s">
        <v>355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 t="s">
        <v>356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 t="s">
        <v>357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 t="s">
        <v>358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 t="s">
        <v>359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 t="s">
        <v>360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 t="s">
        <v>361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 t="s">
        <v>362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 t="s">
        <v>363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 t="s">
        <v>364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 t="s">
        <v>365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 t="s">
        <v>366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 t="s">
        <v>367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 t="s">
        <v>368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 t="s">
        <v>369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 t="s">
        <v>370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 t="s">
        <v>371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 t="s">
        <v>372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 t="s">
        <v>373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 t="s">
        <v>374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 t="s">
        <v>375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 t="s">
        <v>376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 t="s">
        <v>377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 t="s">
        <v>378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 t="s">
        <v>379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 t="s">
        <v>380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 t="s">
        <v>381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 t="s">
        <v>382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 t="s">
        <v>383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 t="s">
        <v>384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 t="s">
        <v>385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 t="s">
        <v>386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 t="s">
        <v>387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 t="s">
        <v>388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 t="s">
        <v>389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 t="s">
        <v>390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 t="s">
        <v>391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 t="s">
        <v>392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 t="s">
        <v>393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 t="s">
        <v>394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 t="s">
        <v>395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 t="s">
        <v>396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 t="s">
        <v>397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 t="s">
        <v>398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 t="s">
        <v>399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 t="s">
        <v>400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 t="s">
        <v>401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 t="s">
        <v>402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 t="s">
        <v>403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 t="s">
        <v>404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 t="s">
        <v>405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 t="s">
        <v>406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 t="s">
        <v>407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 t="s">
        <v>408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 t="s">
        <v>409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 t="s">
        <v>410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 t="s">
        <v>411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 t="s">
        <v>412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 t="s">
        <v>413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 t="s">
        <v>414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 t="s">
        <v>415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 t="s">
        <v>416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 t="s">
        <v>417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 t="s">
        <v>418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 t="s">
        <v>419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 t="s">
        <v>420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 t="s">
        <v>421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 t="s">
        <v>422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 t="s">
        <v>423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 t="s">
        <v>424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 t="s">
        <v>425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 t="s">
        <v>426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 t="s">
        <v>427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 t="s">
        <v>428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 t="s">
        <v>429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 t="s">
        <v>430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 t="s">
        <v>431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 t="s">
        <v>432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 t="s">
        <v>433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 t="s">
        <v>434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 t="s">
        <v>435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 t="s">
        <v>436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 t="s">
        <v>437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 t="s">
        <v>438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 t="s">
        <v>439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 t="s">
        <v>440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 t="s">
        <v>441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 t="s">
        <v>442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 t="s">
        <v>443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 t="s">
        <v>444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 t="s">
        <v>445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 t="s">
        <v>446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 t="s">
        <v>447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 t="s">
        <v>448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 t="s">
        <v>449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 t="s">
        <v>450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 t="s">
        <v>451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 t="s">
        <v>452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 t="s">
        <v>453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 t="s">
        <v>454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 t="s">
        <v>455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 t="s">
        <v>456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 t="s">
        <v>457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 t="s">
        <v>458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 t="s">
        <v>459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 t="s">
        <v>460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 t="s">
        <v>461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 t="s">
        <v>462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 t="s">
        <v>463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 t="s">
        <v>464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 t="s">
        <v>465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 t="s">
        <v>466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 t="s">
        <v>467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 t="s">
        <v>468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 t="s">
        <v>469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 t="s">
        <v>470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 t="s">
        <v>471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 t="s">
        <v>472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 t="s">
        <v>473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 t="s">
        <v>474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 t="s">
        <v>475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 t="s">
        <v>476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 t="s">
        <v>477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 t="s">
        <v>478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 t="s">
        <v>479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 t="s">
        <v>480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 t="s">
        <v>481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 t="s">
        <v>482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 t="s">
        <v>483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 t="s">
        <v>484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 t="s">
        <v>485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 t="s">
        <v>486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 t="s">
        <v>487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 t="s">
        <v>488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 t="s">
        <v>489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 t="s">
        <v>490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 t="s">
        <v>491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 t="s">
        <v>492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 t="s">
        <v>493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 t="s">
        <v>494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 t="s">
        <v>495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 t="s">
        <v>496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 t="s">
        <v>497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 t="s">
        <v>498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 t="s">
        <v>499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 t="s">
        <v>500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 t="s">
        <v>501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 t="s">
        <v>502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 t="s">
        <v>503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 t="s">
        <v>504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 t="s">
        <v>505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 t="s">
        <v>506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 t="s">
        <v>507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 t="s">
        <v>508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 t="s">
        <v>509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 t="s">
        <v>510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 t="s">
        <v>511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 t="s">
        <v>512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 t="s">
        <v>513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 t="s">
        <v>514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 t="s">
        <v>515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 t="s">
        <v>516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 t="s">
        <v>517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 t="s">
        <v>518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 t="s">
        <v>519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 t="s">
        <v>520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showGridLines="0" workbookViewId="0"/>
  </sheetViews>
  <sheetFormatPr defaultColWidth="14.44140625" defaultRowHeight="15" customHeight="1"/>
  <cols>
    <col min="1" max="1" width="45.5546875" customWidth="1"/>
    <col min="2" max="2" width="79" customWidth="1"/>
    <col min="3" max="3" width="5" customWidth="1"/>
  </cols>
  <sheetData>
    <row r="1" spans="1:3" ht="15" customHeight="1">
      <c r="A1" s="53" t="s">
        <v>521</v>
      </c>
      <c r="B1" s="53" t="s">
        <v>522</v>
      </c>
      <c r="C1" s="50"/>
    </row>
    <row r="2" spans="1:3" ht="14.4">
      <c r="A2" s="54" t="s">
        <v>523</v>
      </c>
      <c r="B2" s="55" t="s">
        <v>524</v>
      </c>
    </row>
    <row r="3" spans="1:3" ht="14.4">
      <c r="A3" s="54" t="s">
        <v>525</v>
      </c>
      <c r="B3" s="54" t="s">
        <v>526</v>
      </c>
    </row>
    <row r="4" spans="1:3" ht="14.4">
      <c r="A4" s="54" t="s">
        <v>527</v>
      </c>
      <c r="B4" s="54" t="s">
        <v>528</v>
      </c>
    </row>
    <row r="5" spans="1:3" ht="14.4">
      <c r="A5" s="54" t="s">
        <v>529</v>
      </c>
      <c r="B5" s="54" t="s">
        <v>530</v>
      </c>
    </row>
    <row r="6" spans="1:3" ht="14.4">
      <c r="A6" s="54" t="s">
        <v>531</v>
      </c>
      <c r="B6" s="54" t="s">
        <v>532</v>
      </c>
    </row>
    <row r="7" spans="1:3" ht="14.4">
      <c r="A7" s="54" t="s">
        <v>533</v>
      </c>
      <c r="B7" s="54" t="s">
        <v>534</v>
      </c>
    </row>
    <row r="8" spans="1:3" ht="14.4">
      <c r="A8" s="54" t="s">
        <v>535</v>
      </c>
      <c r="B8" s="54" t="s">
        <v>536</v>
      </c>
    </row>
    <row r="9" spans="1:3" ht="14.4">
      <c r="A9" s="54" t="s">
        <v>537</v>
      </c>
      <c r="B9" s="54" t="s">
        <v>538</v>
      </c>
    </row>
    <row r="10" spans="1:3" ht="14.4">
      <c r="A10" s="54" t="s">
        <v>539</v>
      </c>
      <c r="B10" s="54" t="s">
        <v>540</v>
      </c>
    </row>
    <row r="11" spans="1:3" ht="14.4">
      <c r="A11" s="54" t="s">
        <v>541</v>
      </c>
      <c r="B11" s="54" t="s">
        <v>542</v>
      </c>
    </row>
    <row r="12" spans="1:3" ht="14.4">
      <c r="A12" s="56" t="s">
        <v>543</v>
      </c>
      <c r="B12" s="57" t="s">
        <v>544</v>
      </c>
    </row>
    <row r="13" spans="1:3" ht="14.4">
      <c r="A13" s="56" t="s">
        <v>545</v>
      </c>
      <c r="B13" s="57" t="s">
        <v>546</v>
      </c>
    </row>
    <row r="14" spans="1:3" ht="14.4">
      <c r="A14" s="56" t="s">
        <v>547</v>
      </c>
      <c r="B14" s="57" t="s">
        <v>548</v>
      </c>
    </row>
    <row r="15" spans="1:3" ht="14.4">
      <c r="A15" s="57" t="s">
        <v>549</v>
      </c>
      <c r="B15" s="57" t="s">
        <v>550</v>
      </c>
    </row>
    <row r="16" spans="1:3" ht="14.4">
      <c r="A16" s="57" t="s">
        <v>551</v>
      </c>
      <c r="B16" s="57" t="s">
        <v>552</v>
      </c>
    </row>
    <row r="17" spans="1:2" ht="14.4">
      <c r="A17" s="57" t="s">
        <v>553</v>
      </c>
      <c r="B17" s="57" t="s">
        <v>554</v>
      </c>
    </row>
    <row r="18" spans="1:2" ht="14.4">
      <c r="A18" s="57" t="s">
        <v>69</v>
      </c>
      <c r="B18" s="57" t="s">
        <v>555</v>
      </c>
    </row>
    <row r="19" spans="1:2" ht="14.4">
      <c r="A19" s="57" t="s">
        <v>74</v>
      </c>
      <c r="B19" s="58" t="s">
        <v>556</v>
      </c>
    </row>
    <row r="20" spans="1:2" ht="14.4">
      <c r="A20" s="57" t="s">
        <v>86</v>
      </c>
      <c r="B20" s="57" t="s">
        <v>557</v>
      </c>
    </row>
    <row r="21" spans="1:2" ht="14.4">
      <c r="A21" s="57" t="s">
        <v>101</v>
      </c>
      <c r="B21" s="58" t="s">
        <v>558</v>
      </c>
    </row>
    <row r="22" spans="1:2" ht="14.4">
      <c r="A22" s="57" t="s">
        <v>115</v>
      </c>
      <c r="B22" s="57" t="s">
        <v>559</v>
      </c>
    </row>
    <row r="23" spans="1:2" ht="14.4">
      <c r="A23" s="59" t="s">
        <v>560</v>
      </c>
      <c r="B23" s="59" t="s">
        <v>561</v>
      </c>
    </row>
    <row r="24" spans="1:2" ht="14.4">
      <c r="A24" s="59" t="s">
        <v>562</v>
      </c>
      <c r="B24" s="59" t="s">
        <v>563</v>
      </c>
    </row>
    <row r="25" spans="1:2" ht="14.4">
      <c r="A25" s="56" t="s">
        <v>564</v>
      </c>
      <c r="B25" s="56" t="s">
        <v>565</v>
      </c>
    </row>
    <row r="26" spans="1:2" ht="14.4">
      <c r="A26" s="56" t="s">
        <v>566</v>
      </c>
      <c r="B26" s="56" t="s">
        <v>567</v>
      </c>
    </row>
    <row r="27" spans="1:2" ht="14.4">
      <c r="A27" s="60" t="s">
        <v>568</v>
      </c>
      <c r="B27" s="60" t="s">
        <v>569</v>
      </c>
    </row>
    <row r="28" spans="1:2" ht="14.4">
      <c r="A28" s="60" t="s">
        <v>570</v>
      </c>
      <c r="B28" s="60" t="s">
        <v>571</v>
      </c>
    </row>
    <row r="29" spans="1:2" ht="14.4">
      <c r="A29" s="59" t="s">
        <v>132</v>
      </c>
      <c r="B29" s="59" t="s">
        <v>572</v>
      </c>
    </row>
    <row r="30" spans="1:2" ht="14.4">
      <c r="A30" s="59" t="s">
        <v>134</v>
      </c>
      <c r="B30" s="59" t="s">
        <v>573</v>
      </c>
    </row>
    <row r="31" spans="1:2" ht="14.4">
      <c r="A31" s="59" t="s">
        <v>137</v>
      </c>
      <c r="B31" s="59" t="s">
        <v>574</v>
      </c>
    </row>
    <row r="32" spans="1:2" ht="14.4">
      <c r="A32" s="59" t="s">
        <v>140</v>
      </c>
      <c r="B32" s="59" t="s">
        <v>575</v>
      </c>
    </row>
    <row r="33" spans="1:2" ht="14.4">
      <c r="A33" s="59" t="s">
        <v>143</v>
      </c>
      <c r="B33" s="59" t="s">
        <v>576</v>
      </c>
    </row>
    <row r="34" spans="1:2" ht="14.4">
      <c r="A34" s="59" t="s">
        <v>146</v>
      </c>
      <c r="B34" s="59"/>
    </row>
    <row r="35" spans="1:2" ht="14.4">
      <c r="A35" s="59" t="s">
        <v>149</v>
      </c>
      <c r="B35" s="59" t="s">
        <v>577</v>
      </c>
    </row>
    <row r="36" spans="1:2" ht="14.4">
      <c r="A36" s="59" t="s">
        <v>152</v>
      </c>
      <c r="B36" s="59"/>
    </row>
    <row r="37" spans="1:2" ht="14.4">
      <c r="A37" s="59" t="s">
        <v>155</v>
      </c>
      <c r="B37" s="59"/>
    </row>
    <row r="38" spans="1:2" ht="14.4">
      <c r="A38" s="59" t="s">
        <v>157</v>
      </c>
      <c r="B38" s="59"/>
    </row>
    <row r="39" spans="1:2" ht="14.4">
      <c r="A39" s="59" t="s">
        <v>159</v>
      </c>
      <c r="B39" s="59"/>
    </row>
    <row r="40" spans="1:2" ht="14.4">
      <c r="A40" s="59" t="s">
        <v>162</v>
      </c>
      <c r="B40" s="59"/>
    </row>
    <row r="41" spans="1:2" ht="14.4">
      <c r="A41" s="59" t="s">
        <v>164</v>
      </c>
      <c r="B41" s="59"/>
    </row>
    <row r="42" spans="1:2" ht="14.4">
      <c r="A42" s="59" t="s">
        <v>166</v>
      </c>
      <c r="B42" s="59"/>
    </row>
    <row r="43" spans="1:2" ht="14.4">
      <c r="A43" s="59" t="s">
        <v>168</v>
      </c>
      <c r="B43" s="59"/>
    </row>
    <row r="44" spans="1:2" ht="14.4">
      <c r="A44" s="59" t="s">
        <v>170</v>
      </c>
      <c r="B44" s="59"/>
    </row>
    <row r="45" spans="1:2" ht="14.4">
      <c r="A45" s="59" t="s">
        <v>172</v>
      </c>
      <c r="B45" s="59"/>
    </row>
    <row r="46" spans="1:2" ht="14.4">
      <c r="A46" s="59" t="s">
        <v>174</v>
      </c>
      <c r="B46" s="59"/>
    </row>
    <row r="47" spans="1:2" ht="14.4">
      <c r="A47" s="59" t="s">
        <v>176</v>
      </c>
      <c r="B47" s="59"/>
    </row>
    <row r="48" spans="1:2" ht="14.4">
      <c r="A48" s="59" t="s">
        <v>178</v>
      </c>
      <c r="B48" s="59"/>
    </row>
    <row r="49" spans="1:2" ht="14.4">
      <c r="A49" s="59" t="s">
        <v>180</v>
      </c>
      <c r="B49" s="59"/>
    </row>
    <row r="50" spans="1:2" ht="14.4">
      <c r="A50" s="59" t="s">
        <v>181</v>
      </c>
      <c r="B50" s="59"/>
    </row>
    <row r="51" spans="1:2" ht="14.4">
      <c r="A51" s="59" t="s">
        <v>182</v>
      </c>
      <c r="B51" s="59"/>
    </row>
    <row r="52" spans="1:2" ht="14.4">
      <c r="A52" s="59" t="s">
        <v>183</v>
      </c>
      <c r="B52" s="59"/>
    </row>
    <row r="53" spans="1:2" ht="14.4">
      <c r="A53" s="59" t="s">
        <v>186</v>
      </c>
      <c r="B53" s="59"/>
    </row>
    <row r="54" spans="1:2" ht="14.4">
      <c r="A54" s="59" t="s">
        <v>187</v>
      </c>
      <c r="B54" s="59"/>
    </row>
    <row r="55" spans="1:2" ht="14.4">
      <c r="A55" s="59" t="s">
        <v>189</v>
      </c>
      <c r="B55" s="59"/>
    </row>
    <row r="56" spans="1:2" ht="14.4">
      <c r="A56" s="59" t="s">
        <v>190</v>
      </c>
      <c r="B56" s="59"/>
    </row>
    <row r="57" spans="1:2" ht="14.4">
      <c r="A57" s="59" t="s">
        <v>191</v>
      </c>
      <c r="B57" s="59"/>
    </row>
    <row r="58" spans="1:2" ht="14.4">
      <c r="A58" s="59" t="s">
        <v>193</v>
      </c>
      <c r="B58" s="59"/>
    </row>
    <row r="59" spans="1:2" ht="14.4">
      <c r="A59" s="59" t="s">
        <v>194</v>
      </c>
      <c r="B59" s="59"/>
    </row>
    <row r="60" spans="1:2" ht="14.4">
      <c r="A60" s="59" t="s">
        <v>195</v>
      </c>
      <c r="B60" s="59"/>
    </row>
    <row r="61" spans="1:2" ht="14.4">
      <c r="A61" s="59" t="s">
        <v>196</v>
      </c>
      <c r="B61" s="59"/>
    </row>
    <row r="62" spans="1:2" ht="14.4">
      <c r="A62" s="59" t="s">
        <v>197</v>
      </c>
      <c r="B62" s="59"/>
    </row>
    <row r="63" spans="1:2" ht="14.4">
      <c r="A63" s="59" t="s">
        <v>198</v>
      </c>
      <c r="B63" s="59"/>
    </row>
    <row r="64" spans="1:2" ht="14.4">
      <c r="A64" s="59" t="s">
        <v>199</v>
      </c>
      <c r="B64" s="59"/>
    </row>
    <row r="65" spans="1:2" ht="14.4">
      <c r="A65" s="59" t="s">
        <v>200</v>
      </c>
      <c r="B65" s="59"/>
    </row>
    <row r="66" spans="1:2" ht="14.4">
      <c r="A66" s="59" t="s">
        <v>201</v>
      </c>
      <c r="B66" s="59"/>
    </row>
    <row r="67" spans="1:2" ht="14.4">
      <c r="A67" s="59" t="s">
        <v>202</v>
      </c>
      <c r="B67" s="59"/>
    </row>
    <row r="68" spans="1:2" ht="14.4">
      <c r="A68" s="59" t="s">
        <v>203</v>
      </c>
      <c r="B68" s="59"/>
    </row>
    <row r="69" spans="1:2" ht="14.4">
      <c r="A69" s="59" t="s">
        <v>204</v>
      </c>
      <c r="B69" s="59"/>
    </row>
    <row r="70" spans="1:2" ht="14.4">
      <c r="A70" s="59" t="s">
        <v>205</v>
      </c>
      <c r="B70" s="59"/>
    </row>
    <row r="71" spans="1:2" ht="14.4">
      <c r="A71" s="59" t="s">
        <v>206</v>
      </c>
      <c r="B71" s="59"/>
    </row>
    <row r="72" spans="1:2" ht="14.4">
      <c r="A72" s="59" t="s">
        <v>207</v>
      </c>
      <c r="B72" s="59"/>
    </row>
    <row r="73" spans="1:2" ht="14.4">
      <c r="A73" s="59" t="s">
        <v>208</v>
      </c>
      <c r="B73" s="59"/>
    </row>
    <row r="74" spans="1:2" ht="14.4">
      <c r="A74" s="59" t="s">
        <v>209</v>
      </c>
      <c r="B74" s="59"/>
    </row>
    <row r="75" spans="1:2" ht="14.4">
      <c r="A75" s="59" t="s">
        <v>210</v>
      </c>
      <c r="B75" s="59"/>
    </row>
    <row r="76" spans="1:2" ht="14.4">
      <c r="A76" s="59" t="s">
        <v>211</v>
      </c>
      <c r="B76" s="59"/>
    </row>
    <row r="77" spans="1:2" ht="14.4">
      <c r="A77" s="59" t="s">
        <v>212</v>
      </c>
      <c r="B77" s="59"/>
    </row>
    <row r="78" spans="1:2" ht="14.4">
      <c r="A78" s="59" t="s">
        <v>213</v>
      </c>
      <c r="B78" s="59"/>
    </row>
    <row r="79" spans="1:2" ht="14.4">
      <c r="A79" s="59" t="s">
        <v>214</v>
      </c>
      <c r="B79" s="59"/>
    </row>
    <row r="80" spans="1:2" ht="14.4">
      <c r="A80" s="59" t="s">
        <v>215</v>
      </c>
      <c r="B80" s="59"/>
    </row>
    <row r="81" spans="1:2" ht="14.4">
      <c r="A81" s="59" t="s">
        <v>216</v>
      </c>
      <c r="B81" s="59"/>
    </row>
    <row r="82" spans="1:2" ht="14.4">
      <c r="A82" s="59" t="s">
        <v>217</v>
      </c>
      <c r="B82" s="59"/>
    </row>
    <row r="83" spans="1:2" ht="14.4">
      <c r="A83" s="59" t="s">
        <v>218</v>
      </c>
      <c r="B83" s="59"/>
    </row>
    <row r="84" spans="1:2" ht="14.4">
      <c r="A84" s="59" t="s">
        <v>219</v>
      </c>
      <c r="B84" s="59"/>
    </row>
    <row r="85" spans="1:2" ht="14.4">
      <c r="A85" s="59" t="s">
        <v>220</v>
      </c>
      <c r="B85" s="59"/>
    </row>
    <row r="86" spans="1:2" ht="14.4">
      <c r="A86" s="59" t="s">
        <v>221</v>
      </c>
      <c r="B86" s="59"/>
    </row>
    <row r="87" spans="1:2" ht="14.4">
      <c r="A87" s="59" t="s">
        <v>222</v>
      </c>
      <c r="B87" s="59"/>
    </row>
    <row r="88" spans="1:2" ht="14.4">
      <c r="A88" s="59" t="s">
        <v>223</v>
      </c>
      <c r="B88" s="59"/>
    </row>
    <row r="89" spans="1:2" ht="14.4">
      <c r="A89" s="59" t="s">
        <v>224</v>
      </c>
      <c r="B89" s="59"/>
    </row>
    <row r="90" spans="1:2" ht="14.4">
      <c r="A90" s="59" t="s">
        <v>225</v>
      </c>
      <c r="B90" s="59"/>
    </row>
    <row r="91" spans="1:2" ht="14.4">
      <c r="A91" s="59" t="s">
        <v>226</v>
      </c>
      <c r="B91" s="59"/>
    </row>
    <row r="92" spans="1:2" ht="14.4">
      <c r="A92" s="59" t="s">
        <v>227</v>
      </c>
      <c r="B92" s="59"/>
    </row>
    <row r="93" spans="1:2" ht="14.4">
      <c r="A93" s="59" t="s">
        <v>228</v>
      </c>
      <c r="B93" s="59"/>
    </row>
    <row r="94" spans="1:2" ht="14.4">
      <c r="A94" s="59" t="s">
        <v>229</v>
      </c>
      <c r="B94" s="59"/>
    </row>
    <row r="95" spans="1:2" ht="14.4">
      <c r="A95" s="59" t="s">
        <v>230</v>
      </c>
      <c r="B95" s="59"/>
    </row>
    <row r="96" spans="1:2" ht="14.4">
      <c r="A96" s="59" t="s">
        <v>231</v>
      </c>
      <c r="B96" s="59"/>
    </row>
    <row r="97" spans="1:2" ht="14.4">
      <c r="A97" s="59" t="s">
        <v>232</v>
      </c>
      <c r="B97" s="59"/>
    </row>
    <row r="98" spans="1:2" ht="14.4">
      <c r="A98" s="59" t="s">
        <v>233</v>
      </c>
      <c r="B98" s="59"/>
    </row>
    <row r="99" spans="1:2" ht="14.4">
      <c r="A99" s="59" t="s">
        <v>234</v>
      </c>
      <c r="B99" s="59"/>
    </row>
    <row r="100" spans="1:2" ht="14.4">
      <c r="A100" s="59" t="s">
        <v>235</v>
      </c>
      <c r="B100" s="59"/>
    </row>
    <row r="101" spans="1:2" ht="14.4">
      <c r="A101" s="59" t="s">
        <v>236</v>
      </c>
      <c r="B101" s="59"/>
    </row>
    <row r="102" spans="1:2" ht="14.4">
      <c r="A102" s="59" t="s">
        <v>237</v>
      </c>
      <c r="B102" s="59"/>
    </row>
    <row r="103" spans="1:2" ht="14.4">
      <c r="A103" s="59" t="s">
        <v>238</v>
      </c>
      <c r="B103" s="59"/>
    </row>
    <row r="104" spans="1:2" ht="14.4">
      <c r="A104" s="59" t="s">
        <v>239</v>
      </c>
      <c r="B104" s="59"/>
    </row>
    <row r="105" spans="1:2" ht="14.4">
      <c r="A105" s="59" t="s">
        <v>240</v>
      </c>
      <c r="B105" s="59"/>
    </row>
    <row r="106" spans="1:2" ht="14.4">
      <c r="A106" s="59"/>
      <c r="B106" s="59"/>
    </row>
    <row r="107" spans="1:2" ht="14.4">
      <c r="A107" s="59"/>
      <c r="B107" s="59"/>
    </row>
    <row r="108" spans="1:2" ht="14.4">
      <c r="A108" s="59"/>
      <c r="B108" s="59"/>
    </row>
    <row r="109" spans="1:2" ht="14.4">
      <c r="A109" s="59"/>
      <c r="B109" s="59"/>
    </row>
    <row r="110" spans="1:2" ht="14.4">
      <c r="A110" s="59"/>
      <c r="B110" s="59"/>
    </row>
    <row r="111" spans="1:2" ht="14.4">
      <c r="A111" s="59"/>
      <c r="B111" s="5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 Month Year</vt:lpstr>
      <vt:lpstr>Restricted - not in use</vt:lpstr>
      <vt:lpstr>Restricted 2 - available prjcts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Majed Hajen</cp:lastModifiedBy>
  <dcterms:modified xsi:type="dcterms:W3CDTF">2025-08-03T10:06:28Z</dcterms:modified>
</cp:coreProperties>
</file>